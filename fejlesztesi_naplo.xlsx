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Útmutató" sheetId="1" state="visible" r:id="rId3"/>
    <sheet name="Összefoglaló" sheetId="2" state="visible" r:id="rId4"/>
    <sheet name="Hibák" sheetId="3" state="visible" r:id="rId5"/>
    <sheet name="Változtatások" sheetId="4" state="visible" r:id="rId6"/>
    <sheet name="Tervezés" sheetId="5" state="visible" r:id="rId7"/>
    <sheet name="Nyitott kérdések" sheetId="6" state="visible" r:id="rId8"/>
    <sheet name="Szoftver" sheetId="7" state="visible" r:id="rId9"/>
    <sheet name="Szoftverterv" sheetId="8" state="visible" r:id="rId10"/>
    <sheet name="Ütemterv" sheetId="9" state="visible" r:id="rId11"/>
    <sheet name="Források" sheetId="10" state="visible" r:id="rId12"/>
    <sheet name="Szójegyzék" sheetId="11" state="visible" r:id="rId13"/>
  </sheets>
  <definedNames>
    <definedName function="false" hidden="true" localSheetId="2" name="_xlnm._FilterDatabase" vbProcedure="false">Hibák!$A$1:$K$19</definedName>
    <definedName function="false" hidden="true" localSheetId="5" name="_xlnm._FilterDatabase" vbProcedure="false">'Nyitott kérdések'!$A$1:$E$18</definedName>
    <definedName function="false" hidden="true" localSheetId="6" name="_xlnm._FilterDatabase" vbProcedure="false">Szoftver!$A$1:$G$22</definedName>
    <definedName function="false" hidden="true" localSheetId="10" name="_xlnm._FilterDatabase" vbProcedure="false">Szójegyzék!$A$1:$C$24</definedName>
    <definedName function="false" hidden="true" localSheetId="4" name="_xlnm._FilterDatabase" vbProcedure="false">Tervezés!$A$1:$F$20</definedName>
    <definedName function="false" hidden="true" localSheetId="3" name="_xlnm._FilterDatabase" vbProcedure="false">Változtatások!$A$1:$H$18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<sst xmlns="http://schemas.openxmlformats.org/spreadsheetml/2006/main" count="1987" uniqueCount="1433">
  <si>
    <t xml:space="preserve">Szakdolgozat – fejlesztési napló</t>
  </si>
  <si>
    <t xml:space="preserve">Projekt: OBD-II telemetria node (ESP32-C3) + Display Node (ESP32-S3)</t>
  </si>
  <si>
    <t xml:space="preserve">Lapok</t>
  </si>
  <si>
    <t xml:space="preserve">Hibák – minden talált hiba, kockázat és eltérés (súlyosság, ok, hatás, javítás, státusz).</t>
  </si>
  <si>
    <t xml:space="preserve">Változtatások – minden végrehajtott vagy eldöntött módosítás (NYÁK, alkatrész, dokumentum, rendelés, eszköz).</t>
  </si>
  <si>
    <t xml:space="preserve">Tervezés – tervezési döntések indoklással és alternatívákkal (ez adja a dolgozat 'miért így' fejezeteit).</t>
  </si>
  <si>
    <t xml:space="preserve">Nyitott kérdések – még nem eldöntött vagy nem mért dolgok.</t>
  </si>
  <si>
    <t xml:space="preserve">Összefoglaló – automatikus darabszámok a lapokból (képletek, nem kell szerkeszteni).</t>
  </si>
  <si>
    <t xml:space="preserve">Szoftverterv – a szoftver felépítése: könyvtárak, fájlok, függvények, feladatok, üzenetformátum, számítások, mérföldkövek (a Szoftver lap S- azonosítóira hivatkozik).</t>
  </si>
  <si>
    <t xml:space="preserve">Használat</t>
  </si>
  <si>
    <t xml:space="preserve">A kék betűs szöveg a kitöltendő vagy bizonytalan adat. Az 'Azonosító' oszlop (H-, V-, T-, Q-) a lapok közötti hivatkozásra való.</t>
  </si>
  <si>
    <t xml:space="preserve">A 'Hivatkozás' oszlopban a dokumentum szakaszszáma vagy fájlnév áll, hogy a dolgozatban vissza lehessen keresni.</t>
  </si>
  <si>
    <t xml:space="preserve">A dátumok az eddigi beszélgetésből és a dokumentumverziókból származnak; ahol a pontos nap nem ismert, 'kitöltendő' áll, és kék betűs.</t>
  </si>
  <si>
    <t xml:space="preserve">Új sor: másold az utolsó sort, vagy írj az első üres sorba; a legördülő listák (súlyosság, státusz) 500. sorig működnek. A szűrő az oszlopfejlécen van.</t>
  </si>
  <si>
    <t xml:space="preserve">Súlyosság: Kritikus = a NYÁK nem működik / veszélyes; Magas = funkciókiesés vagy javítás kell; Közepes = korlátozás, megkerülhető; Alacsony = kozmetikai / dokumentációs.</t>
  </si>
  <si>
    <t xml:space="preserve">Összefoglaló (képletek, nem szerkesztendő)</t>
  </si>
  <si>
    <t xml:space="preserve">Hibák összesen</t>
  </si>
  <si>
    <t xml:space="preserve">  Kritikus</t>
  </si>
  <si>
    <t xml:space="preserve">  Magas</t>
  </si>
  <si>
    <t xml:space="preserve">  Közepes</t>
  </si>
  <si>
    <t xml:space="preserve">  Alacsony</t>
  </si>
  <si>
    <t xml:space="preserve">Hibák – még nem lezárt (Nyitott, Tervezett, Ellenőrizendő, Döntés szükséges)</t>
  </si>
  <si>
    <t xml:space="preserve">Változtatások összesen</t>
  </si>
  <si>
    <t xml:space="preserve">  ebből tervezett (még nem végrehajtott)</t>
  </si>
  <si>
    <t xml:space="preserve">Tervezési döntések</t>
  </si>
  <si>
    <t xml:space="preserve">Nyitott kérdések</t>
  </si>
  <si>
    <t xml:space="preserve">Szoftver funkciók összesen</t>
  </si>
  <si>
    <t xml:space="preserve">Azonosító</t>
  </si>
  <si>
    <t xml:space="preserve">Dátum</t>
  </si>
  <si>
    <t xml:space="preserve">Rendszer / lap</t>
  </si>
  <si>
    <t xml:space="preserve">Hiba leírása</t>
  </si>
  <si>
    <t xml:space="preserve">Felfedezés módja</t>
  </si>
  <si>
    <t xml:space="preserve">Súlyosság</t>
  </si>
  <si>
    <t xml:space="preserve">Hatás</t>
  </si>
  <si>
    <t xml:space="preserve">Javítás / intézkedés</t>
  </si>
  <si>
    <t xml:space="preserve">Kapcsolódó változtatás</t>
  </si>
  <si>
    <t xml:space="preserve">Státusz</t>
  </si>
  <si>
    <t xml:space="preserve">Hivatkozás</t>
  </si>
  <si>
    <t xml:space="preserve">H-01</t>
  </si>
  <si>
    <t xml:space="preserve">2026-10-15</t>
  </si>
  <si>
    <t xml:space="preserve">Display NYÁK</t>
  </si>
  <si>
    <t xml:space="preserve">Q1 (AO3401A) source/drain felcserélve: a body dióda rossz irányba állt, így az akkumulátor-táp útvonal nem a tervezett módon vezetett.</t>
  </si>
  <si>
    <t xml:space="preserve">Kapcsolási rajz / NYÁK átnézés</t>
  </si>
  <si>
    <t xml:space="preserve">Magas</t>
  </si>
  <si>
    <t xml:space="preserve">Hibás tápútválasztás: az USB- és akkuüzem közti átváltás nem megbízható.</t>
  </si>
  <si>
    <t xml:space="preserve">Q1 2. és 3. pad hálózata és a hozzá tartozó rézvezetés javítva (Source = V_SYS, Drain = BTR+, Gate = +5V). Új NYÁK: Y10-13775771A.</t>
  </si>
  <si>
    <t xml:space="preserve">V-03</t>
  </si>
  <si>
    <t xml:space="preserve">Javítva (új NYÁK)</t>
  </si>
  <si>
    <t xml:space="preserve">display leírás 3.2.3</t>
  </si>
  <si>
    <t xml:space="preserve">H-02</t>
  </si>
  <si>
    <t xml:space="preserve">A Q1 gate-kisülési ideje C10 (10 µF) miatt τ = R17·C10 ≈ 0,5 s (R17 = 100 kΩ); korábbi feltevés ('nincs kapacitás a gate-hálón') téves volt.</t>
  </si>
  <si>
    <t xml:space="preserve">Számítás (dokumentum felülvizsgálat)</t>
  </si>
  <si>
    <t xml:space="preserve">Közepes</t>
  </si>
  <si>
    <t xml:space="preserve">USB lekötése után a gate lassan esik, átváltáskor rövid átmeneti állapot lehet.</t>
  </si>
  <si>
    <t xml:space="preserve">R17 mellé 1 kΩ párhuzamosan (≈ 5 ms, de ≈ 4 mA állandó terhelés USB-üzemben). Kézi utómunka a lapok megérkezése után.</t>
  </si>
  <si>
    <t xml:space="preserve">V-04</t>
  </si>
  <si>
    <t xml:space="preserve">Tervezett (kézi)</t>
  </si>
  <si>
    <t xml:space="preserve">display leírás 3.2.1(b), 3.2.4</t>
  </si>
  <si>
    <t xml:space="preserve">H-03</t>
  </si>
  <si>
    <t xml:space="preserve">F1 (PPTC, 0,5 A) alulméretezett a TP4056 töltőáramhoz és a terheléshez együtt.</t>
  </si>
  <si>
    <t xml:space="preserve">Terhelésszámítás</t>
  </si>
  <si>
    <t xml:space="preserve">Töltés és működés közben az F1 kioldhat.</t>
  </si>
  <si>
    <t xml:space="preserve">F1 cseréje 1 A-es típusra vagy kettőzése. Kézi utómunka.</t>
  </si>
  <si>
    <t xml:space="preserve">display leírás 3.2.4</t>
  </si>
  <si>
    <t xml:space="preserve">H-04</t>
  </si>
  <si>
    <t xml:space="preserve">C6 értéke (100 nF) kevés; a javítás 1 µF-os pótlás. [A pontos ok és hatás kitöltendő a display leírás 3.2.4 szerint.]</t>
  </si>
  <si>
    <t xml:space="preserve">Dokumentum felülvizsgálat</t>
  </si>
  <si>
    <t xml:space="preserve">[kitöltendő]</t>
  </si>
  <si>
    <t xml:space="preserve">C6-ra 1 µF párhuzamosan (piggyback). Kézi utómunka.</t>
  </si>
  <si>
    <t xml:space="preserve">H-05</t>
  </si>
  <si>
    <t xml:space="preserve">D2 (SMAJ5.0A) letörési feszültsége (min. 6,4 V) közel van a 5 V-os sín felső tűréséhez.</t>
  </si>
  <si>
    <t xml:space="preserve">Adatlap-összevetés</t>
  </si>
  <si>
    <t xml:space="preserve">Alacsony</t>
  </si>
  <si>
    <t xml:space="preserve">Csúcsok közben a TVS már szivároghat.</t>
  </si>
  <si>
    <t xml:space="preserve">Opcionális csere SMAJ6.0A-ra a kézi utómunka során.</t>
  </si>
  <si>
    <t xml:space="preserve">Tervezett (opcionális)</t>
  </si>
  <si>
    <t xml:space="preserve">H-06</t>
  </si>
  <si>
    <t xml:space="preserve">Nincs külső I²C felhúzó ellenállás a lapon (TP_SDA/TP_SCL).</t>
  </si>
  <si>
    <t xml:space="preserve">NYÁK/kapcsolási rajz átnézés</t>
  </si>
  <si>
    <t xml:space="preserve">Belső (~45 kΩ) felhúzóval csak 100 kHz-en megbízható; a Waveshare modul felhúzóit az oldal nem említi.</t>
  </si>
  <si>
    <t xml:space="preserve">Modul kapcsolási rajzának vagy mérésnek az ellenőrzése; szoftverben 100 kHz-ről indulni; szükség esetén külső felhúzó.</t>
  </si>
  <si>
    <t xml:space="preserve">Nyitott</t>
  </si>
  <si>
    <t xml:space="preserve">display leírás 2.2</t>
  </si>
  <si>
    <t xml:space="preserve">H-07</t>
  </si>
  <si>
    <t xml:space="preserve">Display dokumentáció</t>
  </si>
  <si>
    <t xml:space="preserve">Érintővezérlő típusa a leírásban CST816D volt, a valódi modulban CST816S van.</t>
  </si>
  <si>
    <t xml:space="preserve">Waveshare termékoldal</t>
  </si>
  <si>
    <t xml:space="preserve">Dokumentációs eltérés, a szoftver driverének kiválasztását érintette volna.</t>
  </si>
  <si>
    <t xml:space="preserve">Minden előfordulás javítva (display leírás A.3).</t>
  </si>
  <si>
    <t xml:space="preserve">V-06</t>
  </si>
  <si>
    <t xml:space="preserve">Lezárva</t>
  </si>
  <si>
    <t xml:space="preserve">display leírás A.3</t>
  </si>
  <si>
    <t xml:space="preserve">H-08</t>
  </si>
  <si>
    <t xml:space="preserve">A leírás számai (V_SYS, LDO-veszteség, J2 kiosztás) nem egyeztek az elkészült NYÁK-kal.</t>
  </si>
  <si>
    <t xml:space="preserve">Leírás–NYÁK összevetés</t>
  </si>
  <si>
    <t xml:space="preserve">Az elavult adatok félrevezették volna a dolgozatot és a szoftverfejlesztést.</t>
  </si>
  <si>
    <t xml:space="preserve">Újraszámolás és átírás (display A.2).</t>
  </si>
  <si>
    <t xml:space="preserve">display leírás A.2</t>
  </si>
  <si>
    <t xml:space="preserve">H-09</t>
  </si>
  <si>
    <t xml:space="preserve">2026-10-16</t>
  </si>
  <si>
    <t xml:space="preserve">OBD NYÁK</t>
  </si>
  <si>
    <t xml:space="preserve">TPS54302 VIN abs. max. 30 V, a D4 (SMAJ24A) kapocsfeszültsége nagy áramnál 38,9 V, soros ellenállás vagy biztosíték nincs (csak a D8).</t>
  </si>
  <si>
    <t xml:space="preserve">TI adatlap + számítás</t>
  </si>
  <si>
    <t xml:space="preserve">Elnyomatlan load dump esetén a buck bemenetére 30 V fölötti csúcs juthat.</t>
  </si>
  <si>
    <t xml:space="preserve">Nem módosítható (a NYÁK gyártásban van). Normál 12 V-os járműhálózatban elfogadható; kapocsfeszültség mérése tervezett.</t>
  </si>
  <si>
    <t xml:space="preserve">Elfogadott kockázat</t>
  </si>
  <si>
    <t xml:space="preserve">OBD leírás 2.2.4</t>
  </si>
  <si>
    <t xml:space="preserve">H-10</t>
  </si>
  <si>
    <t xml:space="preserve">JP1 egy ellenállás nélküli CANL–CANH forrasztóhíd.</t>
  </si>
  <si>
    <t xml:space="preserve">NYÁK átnézés</t>
  </si>
  <si>
    <t xml:space="preserve">Véletlen rövidzár (híd zárása) a CAN-busz lezárása helyett.</t>
  </si>
  <si>
    <t xml:space="preserve">Figyelmeztetés a leírásban (JP1 nyitva üzemelés).</t>
  </si>
  <si>
    <t xml:space="preserve">OBD leírás</t>
  </si>
  <si>
    <t xml:space="preserve">H-11</t>
  </si>
  <si>
    <t xml:space="preserve">OBD NYÁK / firmware</t>
  </si>
  <si>
    <t xml:space="preserve">Alkatrész-kiválasztási hiba: a tervezett SN65HVD230 helyett SN65HVD231 került a kapcsolási rajzra/rendelésbe. A 231 sleep módjában (RS &gt; 0,75·VCC) a vevő is kikapcsol (0,1 µA), a 230 standby módjában viszont a vevő aktív marad (370 µA typ.), és az RXD követi a buszt.</t>
  </si>
  <si>
    <t xml:space="preserve">Adatlap</t>
  </si>
  <si>
    <t xml:space="preserve">A funkciólista 'forgalomra ébredés' elképzelése nem teljesül; alvó eszköz nem veszi észre a gyújtás bekapcsolását.</t>
  </si>
  <si>
    <t xml:space="preserve">Szoftveres megoldás: light sleep + időzítős ébredés, RS = LOW és GPIO-ébresztés az RX-en rövid ablakban, listen-only ellenőrzés, forgalom hiányában visszaalvás. Alternatíva: az IC kézi cseréje SN65HVD230-ra (azonos SOIC-8 lábkiosztás).</t>
  </si>
  <si>
    <t xml:space="preserve">V-12</t>
  </si>
  <si>
    <t xml:space="preserve">Szoftveres megoldás tervezve</t>
  </si>
  <si>
    <t xml:space="preserve">OBD leírás 3.3</t>
  </si>
  <si>
    <t xml:space="preserve">H-15</t>
  </si>
  <si>
    <t xml:space="preserve">2026-10-17</t>
  </si>
  <si>
    <t xml:space="preserve">Display + OBD NYÁK</t>
  </si>
  <si>
    <t xml:space="preserve">Egyik panelen sincs külső 32,768 kHz-es kristály. A BLE alacsony fogyasztású órája így vagy a fő XTAL (light sleep alatt is bekapcsolva marad, nagyobb áram), vagy a belső ~136 kHz-es RC (csak legacy hirdetésre/szkennelésre, kapcsolatra nem).</t>
  </si>
  <si>
    <t xml:space="preserve">ESP-IDF BLE low power útmutató</t>
  </si>
  <si>
    <t xml:space="preserve">A BLE light sleep átlagfogyasztása a tervezettnél nagyobb lehet.</t>
  </si>
  <si>
    <t xml:space="preserve">Mérés a lapokon; ha kevés, nincs hardveres megoldás a jelenlegi NYÁK-on, a szkennelési ablak rövidítése vagy az ébredési periódus növelése segíthet.</t>
  </si>
  <si>
    <t xml:space="preserve">display leírás 3.3</t>
  </si>
  <si>
    <t xml:space="preserve">H-16</t>
  </si>
  <si>
    <t xml:space="preserve">Display szoftver / RF</t>
  </si>
  <si>
    <t xml:space="preserve">ESP-NOW vétel és BLE együttes használata a display S3-on: az ESP-IDF koegzisztencia-táblázata szerint az ESP-NOW RX instabil/korlátozott (az ESP-NOW TX és a BLE rendben).</t>
  </si>
  <si>
    <t xml:space="preserve">ESP-IDF RF Coexistence útmutató</t>
  </si>
  <si>
    <t xml:space="preserve">Telefonnal összekötött BLE mellett csomagvesztés lehet a telemetriában.</t>
  </si>
  <si>
    <t xml:space="preserve">Korai teszt (spike); tartalék: telemetria BLE-n (notify vagy hirdetés), ESP-NOW csak ébresztés utáni átváltáshoz.</t>
  </si>
  <si>
    <t xml:space="preserve">funkciólista F-DISP-05</t>
  </si>
  <si>
    <t xml:space="preserve">H-17</t>
  </si>
  <si>
    <t xml:space="preserve">Display szoftver / energia</t>
  </si>
  <si>
    <t xml:space="preserve">Modem sleep választása a display alvásához: az ESP32-S3 adatlapja szerint modem sleepben (CPU tétlen) 22 mA (80 MHz) – 32,9 mA (240 MHz) az áram, light sleepben 240 µA (+ kb. 140 µA az 8 MB octal PSRAM-nak).</t>
  </si>
  <si>
    <t xml:space="preserve">ESP32-S3-WROOM-1 adatlap</t>
  </si>
  <si>
    <t xml:space="preserve">1000 mAh-s cellával a modem sleep csak kb. 1,5–2 nap üzemidőt ad; light sleepben a BLE-ablakos hallgatás átlagosan kb. 2–3 mA (becslés).</t>
  </si>
  <si>
    <t xml:space="preserve">Light sleep + automatikus light sleep a BLE-vel, 30 ms-os ablak 1,5 s-onként; mérés a megérkezett lapon. Modem sleep csak az OBD oldalon (járműből táplált) elfogadható.</t>
  </si>
  <si>
    <t xml:space="preserve">V-13</t>
  </si>
  <si>
    <t xml:space="preserve">H-18</t>
  </si>
  <si>
    <t xml:space="preserve">Teszthardver</t>
  </si>
  <si>
    <t xml:space="preserve">Az OBD node teszthez a felhasználó ESP32-S2 mini devkitje van meg C3 helyett. Az ESP32-S2-n nincs Bluetooth, így a BLE-ébresztés tesztelhetetlen rajta.</t>
  </si>
  <si>
    <t xml:space="preserve">Chip Series Comparison (ESP-IDF)</t>
  </si>
  <si>
    <t xml:space="preserve">A BLE-ébresztő lánc (S-13) nem tesztelhető S2-n; CAN (TWAI) és ESP-NOW igen.</t>
  </si>
  <si>
    <t xml:space="preserve">BLE-ébresztés tesztje az ESP32-S3-on és a végleges C3-on; asztali CAN-teszthez külön transceiver (SN65HVD230 modul) kell.</t>
  </si>
  <si>
    <t xml:space="preserve">V-15</t>
  </si>
  <si>
    <t xml:space="preserve">–</t>
  </si>
  <si>
    <t xml:space="preserve">H-12</t>
  </si>
  <si>
    <t xml:space="preserve">Gyártási fájlok</t>
  </si>
  <si>
    <t xml:space="preserve">A Gerber-export (17:55) régebbi volt, mint a mentett .kicad_pcb (17:57).</t>
  </si>
  <si>
    <t xml:space="preserve">Fájlidő-összevetés</t>
  </si>
  <si>
    <t xml:space="preserve">A gyártó a legutolsó módosítás nélkül gyárthatott volna.</t>
  </si>
  <si>
    <t xml:space="preserve">Újraexportálás javasolva a felhasználónak.</t>
  </si>
  <si>
    <t xml:space="preserve">kitöltendő</t>
  </si>
  <si>
    <t xml:space="preserve">Ellenőrizendő</t>
  </si>
  <si>
    <t xml:space="preserve">H-13</t>
  </si>
  <si>
    <t xml:space="preserve">JLCPCB rendelés</t>
  </si>
  <si>
    <t xml:space="preserve">Display NYÁK Y9 6%-on indult, mielőtt a hiba kiderült volna; alkatrészt a gyártás indulása után cserélni nem lehet.</t>
  </si>
  <si>
    <t xml:space="preserve">JLCPCB válasz (Carrie)</t>
  </si>
  <si>
    <t xml:space="preserve">Az eredeti PCB hibás (Y9), alkatrész-BOM nem módosítható.</t>
  </si>
  <si>
    <t xml:space="preserve">2. opció választva: új PCB (Y10) a régi tételhez fűzve, alkatrészek változatlanok, kézi javítás a lapok megérkezése után.</t>
  </si>
  <si>
    <t xml:space="preserve">Kezelve</t>
  </si>
  <si>
    <t xml:space="preserve">H-14</t>
  </si>
  <si>
    <t xml:space="preserve">Edge rail (≥ 5 mm) hiányzott, utólagos hozzáadása 18 EUR extra költség.</t>
  </si>
  <si>
    <t xml:space="preserve">JLCPCB válasz</t>
  </si>
  <si>
    <t xml:space="preserve">Többletköltség (18 EUR).</t>
  </si>
  <si>
    <t xml:space="preserve">Befizetve. Jövőben PCB + SMT együtt rendelve a gyártó maga adja hozzá a szegélyt.</t>
  </si>
  <si>
    <t xml:space="preserve">V-05</t>
  </si>
  <si>
    <t xml:space="preserve">Terület</t>
  </si>
  <si>
    <t xml:space="preserve">Változtatás leírása</t>
  </si>
  <si>
    <t xml:space="preserve">Ok / forrás</t>
  </si>
  <si>
    <t xml:space="preserve">Kapcsolódó hiba</t>
  </si>
  <si>
    <t xml:space="preserve">V-01</t>
  </si>
  <si>
    <t xml:space="preserve">2026-10-07</t>
  </si>
  <si>
    <t xml:space="preserve">Dokumentáció</t>
  </si>
  <si>
    <t xml:space="preserve">OBD műszaki leírás első kiadása (Rev. A): hardver- és firmware-architektúra, mérési útmutató.</t>
  </si>
  <si>
    <t xml:space="preserve">Kiinduló dokumentáció</t>
  </si>
  <si>
    <t xml:space="preserve">obd_telemetria_muszaki_leiras.md</t>
  </si>
  <si>
    <t xml:space="preserve">V-02</t>
  </si>
  <si>
    <t xml:space="preserve">2026-10-13</t>
  </si>
  <si>
    <t xml:space="preserve">Display műszaki leírás pontosítása (Rev. A.1): C7/C8 10 µF, Q1 hibájának dokumentálása.</t>
  </si>
  <si>
    <t xml:space="preserve">Pontosítás kapcsolási rajz/NYÁK szerint</t>
  </si>
  <si>
    <t xml:space="preserve">display_node_muszaki_leiras.md</t>
  </si>
  <si>
    <t xml:space="preserve">Új, javított NYÁK (Y10-13775771A): csak Q1 2./3. pad hálózata és a rézvezetés változott; alkatrészlista és CPL azonos. A korábbi Y9 rendelés mellé fűzve.</t>
  </si>
  <si>
    <t xml:space="preserve">JLCPCB 2. opció (Carrie)</t>
  </si>
  <si>
    <t xml:space="preserve">H-01, H-13</t>
  </si>
  <si>
    <t xml:space="preserve">display NYÁK (proj4)</t>
  </si>
  <si>
    <t xml:space="preserve">Végrehajtva</t>
  </si>
  <si>
    <t xml:space="preserve">Display kézi utómunka</t>
  </si>
  <si>
    <t xml:space="preserve">Lapok megérkezése után: F1 → 1 A, R17 ∥ 1 kΩ, C6 ∥ 1 µF, opcionálisan D2 → SMAJ6.0A. BOM nem módosítható, mert az alkatrészek a gyártás indulása után nem cserélhetők.</t>
  </si>
  <si>
    <t xml:space="preserve">Kézi javítás</t>
  </si>
  <si>
    <t xml:space="preserve">H-02, H-03, H-04, H-05</t>
  </si>
  <si>
    <t xml:space="preserve">Tervezett</t>
  </si>
  <si>
    <t xml:space="preserve">Rendelés</t>
  </si>
  <si>
    <t xml:space="preserve">Edge rail pótdíj 18 EUR befizetve.</t>
  </si>
  <si>
    <t xml:space="preserve">JLCPCB (Carrie)</t>
  </si>
  <si>
    <t xml:space="preserve">Display leírás Rev. A.2 (NYÁK szerinti átírás) és A.3 (Waveshare 1,85″ modul, ST77916 + CST816S); OBD leírás Rev. A.1 (D8/D2 diódás VAGY, F1 csak USB-n, JP1, JP2).</t>
  </si>
  <si>
    <t xml:space="preserve">Revíziós szakasz bevezetése a visszakövethetőségért</t>
  </si>
  <si>
    <t xml:space="preserve">H-07, H-08, H-10</t>
  </si>
  <si>
    <t xml:space="preserve">display A.2/A.3, OBD A.1</t>
  </si>
  <si>
    <t xml:space="preserve">V-07</t>
  </si>
  <si>
    <t xml:space="preserve">Kijelző</t>
  </si>
  <si>
    <t xml:space="preserve">Kijelző kiválasztva: Waveshare 1,85″ érintős LCD modul (SKU 35079), 360 × 360, ST77916 QSPI, CST816S érintő. A J2 1–15. láb egyezik a gyártói kiosztással.</t>
  </si>
  <si>
    <t xml:space="preserve">Termékoldal-összevetés</t>
  </si>
  <si>
    <t xml:space="preserve">V-08</t>
  </si>
  <si>
    <t xml:space="preserve">Az OBD NYÁK átnézve: komolyabb hiba nincs; alkatrészcsere nem szükséges (csak a kijelző NYÁK-ján kell kézzel módosítani).</t>
  </si>
  <si>
    <t xml:space="preserve">NYÁK-ellenőrzés</t>
  </si>
  <si>
    <t xml:space="preserve">TestProject_02</t>
  </si>
  <si>
    <t xml:space="preserve">V-09</t>
  </si>
  <si>
    <t xml:space="preserve">Fejlesztői környezet</t>
  </si>
  <si>
    <t xml:space="preserve">ESP-IDF marad VS Code-ban; a két projekt közös komponenst használ egy GitHub-repóban, ahol a KiCad fájlok is vannak.</t>
  </si>
  <si>
    <t xml:space="preserve">Felhasználói döntés</t>
  </si>
  <si>
    <t xml:space="preserve">Eldöntve</t>
  </si>
  <si>
    <t xml:space="preserve">V-10</t>
  </si>
  <si>
    <t xml:space="preserve">OBD leírás Rev. A.2: TPS54302 adatlapi értékek (abs. max 30 V, Iq 45 µA), SN65HVD231 sleep mód korlátai.</t>
  </si>
  <si>
    <t xml:space="preserve">Adatlap-ellenőrzés</t>
  </si>
  <si>
    <t xml:space="preserve">H-09, H-11</t>
  </si>
  <si>
    <t xml:space="preserve">obd leírás A.2</t>
  </si>
  <si>
    <t xml:space="preserve">Tervezés</t>
  </si>
  <si>
    <t xml:space="preserve">OBD key-on érzékelés: light sleep + időzítős ébredés, RX-GPIO ébresztés listen-only ablakban (SN65HVD231-en nincs busz-ébresztés); az IC SN65HVD230-ra cserélése kézzel alternatíva.</t>
  </si>
  <si>
    <t xml:space="preserve">Felhasználói döntés az alkatrész-kiválasztási hiba után</t>
  </si>
  <si>
    <t xml:space="preserve">Display ébresztés: light sleep, BLE szkennelés kis kitöltéssel (pl. 15 ms / 1,5 s), OBD gyors BLE hirdetéssel ébreszti, majd ESP-NOW-ra vagy BLE-re váltás. Telefon: iOS elsődleges (AMS), cél: általános.</t>
  </si>
  <si>
    <t xml:space="preserve">H-15, H-16</t>
  </si>
  <si>
    <t xml:space="preserve">funkciólista F-DISP-06/07</t>
  </si>
  <si>
    <t xml:space="preserve">V-14</t>
  </si>
  <si>
    <t xml:space="preserve">Korábban tervezett 1,28″-es kerek kijelző túl kicsinek bizonyult, ezért váltás a 1,85″-es (ST77916) modulra; a funkciólista IC-adatai (GC9A01/ST7789, CST816D) ezt nem követték.</t>
  </si>
  <si>
    <t xml:space="preserve">Felhasználói közlés</t>
  </si>
  <si>
    <t xml:space="preserve">Otthoni teszteszközök: ESP32-S3 devkit és ESP32-S2 mini (az OBD C3 helyett). A végleges hardver C3 marad.</t>
  </si>
  <si>
    <t xml:space="preserve">V-16</t>
  </si>
  <si>
    <t xml:space="preserve">Új követelmények: VIN kiolvasása minden indításnál, gyártó azonosítása a WMI-ből, márkalogó és egyszerű animáció a kijelzőn. Általános működés bármilyen autóhoz (nincs járműspecifikus beállítás).</t>
  </si>
  <si>
    <t xml:space="preserve">Szoftver lap S-18, S-19</t>
  </si>
  <si>
    <t xml:space="preserve">V-17</t>
  </si>
  <si>
    <t xml:space="preserve">2026-10-18</t>
  </si>
  <si>
    <t xml:space="preserve">Végleges otthoni tesztösszeállítás: ESP32-S3-WROOM-1-N16R8 devkit (display), ESP32-C3 SuperMini (OBD node), ESP32-S2 mini (ECU-szimulátor), két SN65HVD230 CAN modul (a HVD230 viselkedése így is kipróbálható).</t>
  </si>
  <si>
    <t xml:space="preserve">V-11</t>
  </si>
  <si>
    <t xml:space="preserve">Naplózás</t>
  </si>
  <si>
    <t xml:space="preserve">Excel napló elindítva (hibák, változtatások, tervezés, nyitott kérdések).</t>
  </si>
  <si>
    <t xml:space="preserve">Felhasználói kérés</t>
  </si>
  <si>
    <t xml:space="preserve">fejlesztesi_naplo.xlsx</t>
  </si>
  <si>
    <t xml:space="preserve">V-18</t>
  </si>
  <si>
    <t xml:space="preserve">Egyetemi szakdolgozati sablon (szd_ stílusok) bevezetése a FOSZK útmutató formázása helyett: TNR 12, 1,5 sorköz, 0,7 cm behúzás, számozott [n] hivatkozás</t>
  </si>
  <si>
    <t xml:space="preserve">Az egyetemi sablon .docx és a két szakirányú javaslat (mikrovezérlős, szoftveres)</t>
  </si>
  <si>
    <t xml:space="preserve">2_hardver.md/.docx</t>
  </si>
  <si>
    <t xml:space="preserve">V-19</t>
  </si>
  <si>
    <t xml:space="preserve">Egy közös dolgozat, hardveres és szoftveres rész elkülönítve; hivatkozás pontszámmal</t>
  </si>
  <si>
    <t xml:space="preserve">Hallgatói döntés</t>
  </si>
  <si>
    <t xml:space="preserve">2_hardver.md</t>
  </si>
  <si>
    <t xml:space="preserve">V-20</t>
  </si>
  <si>
    <t xml:space="preserve">2. fejezet (Hardver tervezése) első teljes változata</t>
  </si>
  <si>
    <t xml:space="preserve">Hallgatói kérés</t>
  </si>
  <si>
    <t xml:space="preserve">2_hardver.docx</t>
  </si>
  <si>
    <t xml:space="preserve">V-21</t>
  </si>
  <si>
    <t xml:space="preserve">JP1 leírása javítva (alapállapotban nyitott pad, a hiba az ellenállás-lábnyom hiánya); a hibák „utólagos felismerés” szerint átfogalmazva; új 2.6 pont (3D nyomtatott házak); források linkjei</t>
  </si>
  <si>
    <t xml:space="preserve">Hallgatói észrevételek</t>
  </si>
  <si>
    <t xml:space="preserve">H-hibák</t>
  </si>
  <si>
    <t xml:space="preserve">szakdolgozat_2_hardver.docx</t>
  </si>
  <si>
    <t xml:space="preserve">V-22</t>
  </si>
  <si>
    <t xml:space="preserve">3. fejezet (Beágyazott szoftverfejlesztés) vázlata</t>
  </si>
  <si>
    <t xml:space="preserve">szakdolgozat_3_szoftver_vazlat.docx</t>
  </si>
  <si>
    <t xml:space="preserve">V-23</t>
  </si>
  <si>
    <t xml:space="preserve">1. fejezet (Bevezetés és elméleti háttér) első változata, benne új alpont: a NYÁK-tervezés elméleti háttere, a projekt pontjaihoz kötve; 1–2. fejezet összefűzve átvezető bekezdésekkel (szakdolgozat_draft_v0_3)</t>
  </si>
  <si>
    <t xml:space="preserve">szakdolgozat_draft_v0_3.docx</t>
  </si>
  <si>
    <t xml:space="preserve">V-24</t>
  </si>
  <si>
    <t xml:space="preserve">2026-10-19</t>
  </si>
  <si>
    <t xml:space="preserve">Szakdolgozat v0.5: az 1. fejezet 4 ábrája beépítve; Davis-hivatkozás javítva (47+8·s / 55+10·s bit, keretközi térrel); a hallgató hivatkozásai és dátumai átvezetve</t>
  </si>
  <si>
    <t xml:space="preserve">Hallgatói kérés; a Davis-cikk ellenőrzése</t>
  </si>
  <si>
    <t xml:space="preserve">szakdolgozat_draft_v0_5.docx</t>
  </si>
  <si>
    <t xml:space="preserve">V-25</t>
  </si>
  <si>
    <t xml:space="preserve">2026-10-20</t>
  </si>
  <si>
    <t xml:space="preserve">Új lap: Szoftverterv (könyvtárszerkezet, könyvtárak, fájlok/függvények, feladatok, üzenetformátum, számítások, mérföldkövek); S-22 (S2 telemetria-generátor) felvéve; kijelző-lábkiosztás rögzítve</t>
  </si>
  <si>
    <t xml:space="preserve">Hallgatói kérés (szoftverfejlesztés előtti terv)</t>
  </si>
  <si>
    <t xml:space="preserve">Szoftverterv lap</t>
  </si>
  <si>
    <t xml:space="preserve">V-26</t>
  </si>
  <si>
    <t xml:space="preserve">Szoftver</t>
  </si>
  <si>
    <t xml:space="preserve">Project_OpenGauge v0.1: projektváz (obd_node, display_node, tools/ecu_sim), közös komponensek (og_protocol, og_obd, og_common), disp_smooth, PC-s tesztek (protokoll, PID, simítás: 3/3 sikeres)</t>
  </si>
  <si>
    <t xml:space="preserve">Szoftverterv M0–M1</t>
  </si>
  <si>
    <t xml:space="preserve">S-01, S-20</t>
  </si>
  <si>
    <t xml:space="preserve">Project_OpenGauge_v0_1.zip</t>
  </si>
  <si>
    <t xml:space="preserve">V-27</t>
  </si>
  <si>
    <t xml:space="preserve">Új magyar README (az angol helyére); a hibakódok törlése kikerült a tervből (S-16, Szoftverterv, protokoll: RequestCode::ClearDtc eltávolítva)</t>
  </si>
  <si>
    <t xml:space="preserve">Hallgatói döntés (T-22)</t>
  </si>
  <si>
    <t xml:space="preserve">README.md</t>
  </si>
  <si>
    <t xml:space="preserve">V-28</t>
  </si>
  <si>
    <t xml:space="preserve">OpenGauge.md (projektleírás) magyarul, frissítve: kétegységes hatókör, négyrétegű NYÁK, QSPI kijelző, P1–P3 szintek, JP1 figyelmeztetés, kockázatok; a panelméretek rögzítve (OBD ≈ 41,8 × 59,1 mm, 80,1 mm a csatlakozóval; kijelző Ø50, 50 × 56,4 mm)</t>
  </si>
  <si>
    <t xml:space="preserve">Hallgatói kérés (angol dokumentumok magyarítása)</t>
  </si>
  <si>
    <t xml:space="preserve">OpenGauge.md / .docx</t>
  </si>
  <si>
    <t xml:space="preserve">V-29</t>
  </si>
  <si>
    <t xml:space="preserve">README és OpenGauge.md állapotfüggetlenné téve (az „Állapot" és a mérföldkő-táblázat kikerült a README-ből); új 03_hardver_architektura (magyar hardver-áttekintés a két műszaki leírás alapján)</t>
  </si>
  <si>
    <t xml:space="preserve">Hallgatói visszajelzés (általános, időtlen megfogalmazás)</t>
  </si>
  <si>
    <t xml:space="preserve">README.md, OpenGauge.md, 03_hardver_architektura.md</t>
  </si>
  <si>
    <t xml:space="preserve">V-30</t>
  </si>
  <si>
    <t xml:space="preserve">02_szoftver_architektura (magyar szoftver-áttekintés, a Szoftverterv lap alapján, figyelmeztetéssel, hogy leírás és nem kódmásolat); OpenGauge.md P2 kiegészítve a BLE-alapú ébresztéssel; firmware-zip a firmware/ szerkezetre igazítva (OpenGauge_firmware_v0_2.zip)</t>
  </si>
  <si>
    <t xml:space="preserve">02_szoftver_architektura.md, OpenGauge_firmware_v0_2.zip</t>
  </si>
  <si>
    <t xml:space="preserve">V-31</t>
  </si>
  <si>
    <t xml:space="preserve">2026-10-21</t>
  </si>
  <si>
    <t xml:space="preserve">Dolgozat v0.6: P2 forrása javítva (nem az ISO 15765-4, hanem a J1979 / ISO 15031-5); CAN-kötelezettségre vonatkozó állítás az ISO 15765-4 1. pontjára szűkítve; OBDLink MX forrás felvéve; új Ütemterv lap (okt. 21–31)</t>
  </si>
  <si>
    <t xml:space="preserve">Hallgatói kérés; ISO 15765-4 (2005) ellenőrzése</t>
  </si>
  <si>
    <t xml:space="preserve">F-02, F-03, F-05</t>
  </si>
  <si>
    <t xml:space="preserve">szakdolgozat_draft_v0_6.docx</t>
  </si>
  <si>
    <t xml:space="preserve">V-32</t>
  </si>
  <si>
    <t xml:space="preserve">Dolgozat v0.7: P2 = 50 ms ellenőrizve és hivatkozva (SAE J1979-2, 12. táblázat); új bekezdés az OBDonUDS-ről és a protokoll-felismerésről (4. ábra); mind az öt [FORRÁS KELL] megoldva. Hatókör: OBDonUDS kizárva (felismerés és jelzés); obd_detect kiegészítve a 22 F8 10 kéréssel</t>
  </si>
  <si>
    <t xml:space="preserve">J1979-2 PDF áttekintése</t>
  </si>
  <si>
    <t xml:space="preserve">F-03, F-07, Q-29</t>
  </si>
  <si>
    <t xml:space="preserve">szakdolgozat_draft_v0_7.docx, OpenGauge.md, 02_szoftver_architektura.md</t>
  </si>
  <si>
    <t xml:space="preserve">V-33</t>
  </si>
  <si>
    <t xml:space="preserve">Project_OpenGauge v0.3: CAN-oldali PC-s kód: ISO-TP (SF/FF/CF/FC), OBD-kliens (P2/P2*, response pending), obd_services, PidScheduler, obd_detect, ecu_model + VirtualBus (virtuális óra). Minden függvényhez magyar mit/hogyan/miért megjegyzés. Host tesztek: 5/5, 199 ellenőrzés hiba nélkül.</t>
  </si>
  <si>
    <t xml:space="preserve">Hallgatói kérés (megjegyzések + függvényleírások)</t>
  </si>
  <si>
    <t xml:space="preserve">S-02, S-03, S-16, S-18, S-21</t>
  </si>
  <si>
    <t xml:space="preserve">OpenGauge_firmware_v0_3.zip</t>
  </si>
  <si>
    <t xml:space="preserve">Téma</t>
  </si>
  <si>
    <t xml:space="preserve">Döntés</t>
  </si>
  <si>
    <t xml:space="preserve">Indoklás</t>
  </si>
  <si>
    <t xml:space="preserve">Elvetett alternatívák</t>
  </si>
  <si>
    <t xml:space="preserve">T-01</t>
  </si>
  <si>
    <t xml:space="preserve">OBD node vezérlő</t>
  </si>
  <si>
    <t xml:space="preserve">ESP32-C3-WROOM-02</t>
  </si>
  <si>
    <t xml:space="preserve">Beépített TWAI (CAN) vezérlő, USB, alacsony ár, ESP-NOW és BLE támogatás.</t>
  </si>
  <si>
    <t xml:space="preserve">ESP32-S3, ESP32 (klasszikus)</t>
  </si>
  <si>
    <t xml:space="preserve">OBD leírás 1.</t>
  </si>
  <si>
    <t xml:space="preserve">T-02</t>
  </si>
  <si>
    <t xml:space="preserve">CAN transceiver</t>
  </si>
  <si>
    <t xml:space="preserve">SN65HVD231</t>
  </si>
  <si>
    <t xml:space="preserve">3,3 V-os táp, sleep mód (0,1 µA typ.), egyszerű RS-vezérlés.</t>
  </si>
  <si>
    <t xml:space="preserve">SN65HVD230 (standby fogyasztása nagyobb), MCP2551 (5 V)</t>
  </si>
  <si>
    <t xml:space="preserve">T-03</t>
  </si>
  <si>
    <t xml:space="preserve">OBD táplálás</t>
  </si>
  <si>
    <t xml:space="preserve">TPS54302 buck, D8 (SS34) + D2 (SS14) VAGY-kapcsolás</t>
  </si>
  <si>
    <t xml:space="preserve">12–18 V-os járműhálózat hatékony levétele 3,3 V-ra; USB és jármű közti átkapcsolás diódákkal.</t>
  </si>
  <si>
    <t xml:space="preserve">LDO (nagy disszipáció), kapcsolóüzemű modul</t>
  </si>
  <si>
    <t xml:space="preserve">OBD leírás 2.2</t>
  </si>
  <si>
    <t xml:space="preserve">T-04</t>
  </si>
  <si>
    <t xml:space="preserve">Tranziensvédelem</t>
  </si>
  <si>
    <t xml:space="preserve">D4 SMAJ24A TVS a nyers VBAT-on</t>
  </si>
  <si>
    <t xml:space="preserve">A járműhálózat feszültségcsúcsai ellen; nincs soros biztosíték (hely és ár).</t>
  </si>
  <si>
    <t xml:space="preserve">PTC vagy biztosíték sorosan</t>
  </si>
  <si>
    <t xml:space="preserve">OBD leírás 2.2.3</t>
  </si>
  <si>
    <t xml:space="preserve">T-05</t>
  </si>
  <si>
    <t xml:space="preserve">Vezeték nélküli kapcsolat</t>
  </si>
  <si>
    <t xml:space="preserve">ESP-NOW (2,4 GHz, router nélkül)</t>
  </si>
  <si>
    <t xml:space="preserve">Kis késleltetés, nincs handshake, a két node közvetlenül kommunikál.</t>
  </si>
  <si>
    <t xml:space="preserve">BLE GATT, Wi-Fi AP + UDP</t>
  </si>
  <si>
    <t xml:space="preserve">funkciólista 1.</t>
  </si>
  <si>
    <t xml:space="preserve">T-06</t>
  </si>
  <si>
    <t xml:space="preserve">Display vezérlő</t>
  </si>
  <si>
    <t xml:space="preserve">ESP32-S3-WROOM-1-N8R8</t>
  </si>
  <si>
    <t xml:space="preserve">Octal PSRAM a kijelző-pufferekhez, BLE, USB, elég GPIO.</t>
  </si>
  <si>
    <t xml:space="preserve">ESP32-S3 N16R8, ESP32-C6</t>
  </si>
  <si>
    <t xml:space="preserve">display leírás 1.</t>
  </si>
  <si>
    <t xml:space="preserve">T-07</t>
  </si>
  <si>
    <t xml:space="preserve">Waveshare 1,85″ 360 × 360 érintős modul, QSPI</t>
  </si>
  <si>
    <t xml:space="preserve">Kerek kialakítás, QSPI a gyors frissítéshez, beépített érintés és szintillesztő.</t>
  </si>
  <si>
    <t xml:space="preserve">GC9A01 (240 × 240, csak SPI), ST7789</t>
  </si>
  <si>
    <t xml:space="preserve">T-08</t>
  </si>
  <si>
    <t xml:space="preserve">Grafikus keretrendszer</t>
  </si>
  <si>
    <t xml:space="preserve">LVGL (esp_lvgl_port) ESP-IDF-en</t>
  </si>
  <si>
    <t xml:space="preserve">Széles körben használt, ESP-IDF komponens, érintés- és kijelző-illesztő támogatás.</t>
  </si>
  <si>
    <t xml:space="preserve">TFT_eSPI (nem ESP-IDF), saját rajzolás</t>
  </si>
  <si>
    <t xml:space="preserve">funkciólista F-DISP-02</t>
  </si>
  <si>
    <t xml:space="preserve">T-09</t>
  </si>
  <si>
    <t xml:space="preserve">Display táp és akkumulátor</t>
  </si>
  <si>
    <t xml:space="preserve">TP4056 töltő, P-MOSFET (AO3401A) tápútválasztó, TLV75733 LDO</t>
  </si>
  <si>
    <t xml:space="preserve">Egy cellás LiPo töltése USB-ről; az USB-kapocs átveszi a terhelést; alacsony nyugalmi áramú LDO.</t>
  </si>
  <si>
    <t xml:space="preserve">Töltő-power-path IC (pl. BQ24074), nagyobb LDO</t>
  </si>
  <si>
    <t xml:space="preserve">display leírás 3.2</t>
  </si>
  <si>
    <t xml:space="preserve">T-10</t>
  </si>
  <si>
    <t xml:space="preserve">Akkumulátorvédelem</t>
  </si>
  <si>
    <t xml:space="preserve">Védelem nélküli lap; csak beépített védőáramkörös 1S LiPo cella használható</t>
  </si>
  <si>
    <t xml:space="preserve">Helyhiány a kör alakú NYÁK-on; a cella védőpanelje a BTR− ágban.</t>
  </si>
  <si>
    <t xml:space="preserve">DW01A + FS8205 a lapon</t>
  </si>
  <si>
    <t xml:space="preserve">display leírás 3.4</t>
  </si>
  <si>
    <t xml:space="preserve">T-11</t>
  </si>
  <si>
    <t xml:space="preserve">NYÁK felépítés</t>
  </si>
  <si>
    <t xml:space="preserve">4 rétegű, JLC04161H-7628</t>
  </si>
  <si>
    <t xml:space="preserve">Impedancia és földsík a QSPI és az RF részhez.</t>
  </si>
  <si>
    <t xml:space="preserve">2 rétegű</t>
  </si>
  <si>
    <t xml:space="preserve">display leírás 4.1</t>
  </si>
  <si>
    <t xml:space="preserve">T-12</t>
  </si>
  <si>
    <t xml:space="preserve">ESP-IDF VS Code-ban, közös komponens egy GitHub-repóban</t>
  </si>
  <si>
    <t xml:space="preserve">Egységes ISO-TP/csomagformátum a két projekt között, verziókövetés.</t>
  </si>
  <si>
    <t xml:space="preserve">Arduino, PlatformIO</t>
  </si>
  <si>
    <t xml:space="preserve">T-14</t>
  </si>
  <si>
    <t xml:space="preserve">Display ébresztés</t>
  </si>
  <si>
    <t xml:space="preserve">Light sleep + időzített BLE szkennelés; az OBD gyorsan hirdet az ébresztéshez</t>
  </si>
  <si>
    <t xml:space="preserve">Deep sleep alatt a BLE nem működik; light sleepben igen. A szkennelés kis kitöltése alacsony átlagáram.</t>
  </si>
  <si>
    <t xml:space="preserve">Deep sleep + érintés, ESP-NOW wake window</t>
  </si>
  <si>
    <t xml:space="preserve">funkciólista F-DISP-07</t>
  </si>
  <si>
    <t xml:space="preserve">T-15</t>
  </si>
  <si>
    <t xml:space="preserve">Médiavezérlés</t>
  </si>
  <si>
    <t xml:space="preserve">iOS: Apple Media Service (BLE GATT kliens) + opcionális HID médiabillentyűk; AVRCP nem</t>
  </si>
  <si>
    <t xml:space="preserve">Az ESP32-S3 csak BLE-t támogat, az AVRCP Bluetooth Classic.</t>
  </si>
  <si>
    <t xml:space="preserve">AVRCP (csak klasszikus ESP32), Spotify Web API</t>
  </si>
  <si>
    <t xml:space="preserve">funkciólista F-DISP-06</t>
  </si>
  <si>
    <t xml:space="preserve">T-16</t>
  </si>
  <si>
    <t xml:space="preserve">PID-lekérdezés</t>
  </si>
  <si>
    <t xml:space="preserve">Rétegezett ütemező: RPM/sebesség minden ciklusban, lassú értékek ritkábban; induláskor támogatott PID-ek lekérdezése</t>
  </si>
  <si>
    <t xml:space="preserve">A busz és az ECU válaszideje korlátos; a lassan változó értékeket felesleges gyakran kérdezni.</t>
  </si>
  <si>
    <t xml:space="preserve">Mind egyforma gyakorisággal, több PID egy kérésben</t>
  </si>
  <si>
    <t xml:space="preserve">Szoftver lap</t>
  </si>
  <si>
    <t xml:space="preserve">T-17</t>
  </si>
  <si>
    <t xml:space="preserve">Display → OBD üzenetek</t>
  </si>
  <si>
    <t xml:space="preserve">Felfelé menő üzenetek: READY/ACK (ébredés után), HEARTBEAT (a display él), KÉRÉS (VIN, hibakód olvasás/törlés, PID-profil), ALVÁS-JELZÉS; a telemetria nem igényel visszaigazolást</t>
  </si>
  <si>
    <t xml:space="preserve">A display főleg vevő; az ESP-NOW nem UDP, de unicastnál van MAC-szintű visszaigazolás és újraküldés, így a telemetriához nem kell alkalmazásszintű ACK.</t>
  </si>
  <si>
    <t xml:space="preserve">Minden csomag alkalmazásszintű ACK-kal</t>
  </si>
  <si>
    <t xml:space="preserve">Szoftver lap S-20</t>
  </si>
  <si>
    <t xml:space="preserve">T-18</t>
  </si>
  <si>
    <t xml:space="preserve">VIN és márkalogó</t>
  </si>
  <si>
    <t xml:space="preserve">VIN lekérés Mode 09 PID 02-vel (többkeretes ISO-TP), a gyártó a WMI-ből (első 3 karakter) táblázatból; ismeretlen WMI esetén általános logó</t>
  </si>
  <si>
    <t xml:space="preserve">Általános működés bármilyen autóval; a VIN nem minden autón érhető el, ezért tartalék kell. ESP-NOW-n a VIN csak titkosítva menjen.</t>
  </si>
  <si>
    <t xml:space="preserve">Kézi márkaválasztás</t>
  </si>
  <si>
    <t xml:space="preserve">T-19</t>
  </si>
  <si>
    <t xml:space="preserve">Tesztkörnyezet</t>
  </si>
  <si>
    <t xml:space="preserve">Asztali CAN-tesztpad: ESP32-S2 (ECU-szimulátor) ↔ CAN ↔ ESP32-C3 SuperMini (OBD node) ↔ ESP-NOW/BLE ↔ ESP32-S3 (display)</t>
  </si>
  <si>
    <t xml:space="preserve">Autó nélkül is ismételhető tesztek (PID-ek, VIN többkeretesen, buszalvás/ébredés); a szimulátor reprodukálható mérési feltételeket ad a 5. fejezethez.</t>
  </si>
  <si>
    <t xml:space="preserve">Csak járműves tesztek</t>
  </si>
  <si>
    <t xml:space="preserve">Szoftver lap S-21</t>
  </si>
  <si>
    <t xml:space="preserve">T-13</t>
  </si>
  <si>
    <t xml:space="preserve">OBD key-on érzékelés</t>
  </si>
  <si>
    <t xml:space="preserve">Light sleep + időzítős ébredés, RX-GPIO ébresztés listen-only ablakban (H-11 miatt)</t>
  </si>
  <si>
    <t xml:space="preserve">Az SN65HVD231 sleep módban nem ébreszt busz-forgalomra.</t>
  </si>
  <si>
    <t xml:space="preserve">Külső busz-ébresztő áramkör, VBAT-figyelés ADC-vel (a jelenlegi NYÁK-on nincs)</t>
  </si>
  <si>
    <t xml:space="preserve">T-20</t>
  </si>
  <si>
    <t xml:space="preserve">Szakdolgozat szerkezete</t>
  </si>
  <si>
    <t xml:space="preserve">BSc, 40–55 oldal; hardver, szoftver, teszt egyenként ≈ 25–30 %; hosszú leírások mellékletbe</t>
  </si>
  <si>
    <t xml:space="preserve">Az egyetemi sablon és a mikrovezérlős/szoftveres javaslat arányai</t>
  </si>
  <si>
    <t xml:space="preserve">Két külön dolgozat; FOSZK útmutató formázása</t>
  </si>
  <si>
    <t xml:space="preserve">szd sablon, 2. fejezet</t>
  </si>
  <si>
    <t xml:space="preserve">T-21</t>
  </si>
  <si>
    <t xml:space="preserve">Hivatkozási stílus</t>
  </si>
  <si>
    <t xml:space="preserve">Számozott, szögletes zárójeles [n], ábécésorrendű irodalomjegyzék</t>
  </si>
  <si>
    <t xml:space="preserve">Az egyetemi sablon előírása</t>
  </si>
  <si>
    <t xml:space="preserve">SZERZŐ (év) stílus (FOSZK útmutató)</t>
  </si>
  <si>
    <t xml:space="preserve">szd sablon 2.4</t>
  </si>
  <si>
    <t xml:space="preserve">T-22</t>
  </si>
  <si>
    <t xml:space="preserve">Hatókör: hibakódok törlése</t>
  </si>
  <si>
    <t xml:space="preserve">A hibakódok törlése (Mode 04) kimarad a projektből; az eszköz kizárólag olvasó (Mode 01, 09, tervezetten 03).</t>
  </si>
  <si>
    <t xml:space="preserve">Az „eszköz nem befolyásolja a jármű működését” állítás csak akkor tartható, ha semmilyen író/törlő szolgáltatás nincs benne; a törlés a készenléti monitorokat is nullázza (kibocsátási vizsgához releváns).</t>
  </si>
  <si>
    <t xml:space="preserve">Törlés megerősítéssel (S-16 korábbi változata)</t>
  </si>
  <si>
    <t xml:space="preserve">OpenGauge.md 3.2; Szoftver S-16</t>
  </si>
  <si>
    <t xml:space="preserve">T-23</t>
  </si>
  <si>
    <t xml:space="preserve">ESP-IDF v5.5.5 (az 5.5-ös ág), nem a legújabb főverzió.</t>
  </si>
  <si>
    <t xml:space="preserve">Az ESP-IDF dokumentációja szerint a stabil kiadás már a v6.1; az 5.5.x ág viszont érett, minden használt komponens (esp_lvgl_port, esp_lcd_st77916, esp_lcd_touch_cst816s, TWAI) 5.x-szel ismert; a támogatási szabály szerint minden főkiadás 30 hónapig támogatott, ez a szakdolgozat idejére bőven elég. A verziót a dolgozatban rögzíteni kell.</t>
  </si>
  <si>
    <t xml:space="preserve">ESP-IDF v6.1 (új API-k, kisebb példatár, kockázat a rövid határidő mellett)</t>
  </si>
  <si>
    <t xml:space="preserve">docs.espressif.com – ESP-IDF Versions</t>
  </si>
  <si>
    <t xml:space="preserve">Kérdés</t>
  </si>
  <si>
    <t xml:space="preserve">Hogyan válaszolható meg</t>
  </si>
  <si>
    <t xml:space="preserve">Q-01</t>
  </si>
  <si>
    <t xml:space="preserve">Display</t>
  </si>
  <si>
    <t xml:space="preserve">Waveshare modul 16–18. lába GND-e? (a gyártó oldala nem sorolja fel)</t>
  </si>
  <si>
    <t xml:space="preserve">Modul kapcsolási rajza / méréssel</t>
  </si>
  <si>
    <t xml:space="preserve">Q-02</t>
  </si>
  <si>
    <t xml:space="preserve">Van-e I²C felhúzó a modulon? Külső felhúzó szükséges-e?</t>
  </si>
  <si>
    <t xml:space="preserve">Modul kapcsolási rajza / mérés</t>
  </si>
  <si>
    <t xml:space="preserve">Q-03</t>
  </si>
  <si>
    <t xml:space="preserve">CST816S I²C-címe a modulon (0x15 az adatlap szerint)</t>
  </si>
  <si>
    <t xml:space="preserve">I²C-szkenner a lapokkal</t>
  </si>
  <si>
    <t xml:space="preserve">Q-04</t>
  </si>
  <si>
    <t xml:space="preserve">Az FFC kábel érintkezési oldala illik-e az alsó érintkezős J2-höz?</t>
  </si>
  <si>
    <t xml:space="preserve">Kábel és aljzat szemrevételezése a megérkezéskor</t>
  </si>
  <si>
    <t xml:space="preserve">Q-05</t>
  </si>
  <si>
    <t xml:space="preserve">QSPI órajel: 40 MHz stabil-e, kell-e soros lezárás?</t>
  </si>
  <si>
    <t xml:space="preserve">Jelminőség-mérés, ESP-IDF teszt</t>
  </si>
  <si>
    <t xml:space="preserve">Q-06</t>
  </si>
  <si>
    <t xml:space="preserve">OBD</t>
  </si>
  <si>
    <t xml:space="preserve">Kapocsfeszültség a TVS-nél és a buck bemenetén tranziensekkor</t>
  </si>
  <si>
    <t xml:space="preserve">Oszcilloszkópos mérés / szimuláció</t>
  </si>
  <si>
    <t xml:space="preserve">Q-07</t>
  </si>
  <si>
    <t xml:space="preserve">Alvóáram a járművön (cél ≤ 1 mA @ 12 V)</t>
  </si>
  <si>
    <t xml:space="preserve">Árammérés</t>
  </si>
  <si>
    <t xml:space="preserve">Q-08</t>
  </si>
  <si>
    <t xml:space="preserve">Telefon típusa a médiavezérléshez: iOS elsődleges, a cél az általános működés</t>
  </si>
  <si>
    <t xml:space="preserve">Felhasználó (2026-10-17)</t>
  </si>
  <si>
    <t xml:space="preserve">Megválaszolt</t>
  </si>
  <si>
    <t xml:space="preserve">Q-09</t>
  </si>
  <si>
    <t xml:space="preserve">A kijelző táplálása: USB és akkumulátor, az USB nem mindig van bedugva, ezért vezeték nélküli ébresztés kell</t>
  </si>
  <si>
    <t xml:space="preserve">Q-11</t>
  </si>
  <si>
    <t xml:space="preserve">Hogyan viselkedik a CAN-busz a saját autón (key-on, ajtónyitás, key-off, buszalvás): kockák időzítése, buszalvás ideje?</t>
  </si>
  <si>
    <t xml:space="preserve">Listen-only naplózás a saját node-dal</t>
  </si>
  <si>
    <t xml:space="preserve">Q-12</t>
  </si>
  <si>
    <t xml:space="preserve">Működik-e stabilan az ESP-NOW vétel a telefonnal összekötött BLE mellett (H-16)?</t>
  </si>
  <si>
    <t xml:space="preserve">Korai prototípus-teszt</t>
  </si>
  <si>
    <t xml:space="preserve">Q-13</t>
  </si>
  <si>
    <t xml:space="preserve">BLE light sleep átlagáram a fő XTAL mint alacsony fogyasztású óra mellett, 15 ms / 1,5 s szkennelésnél</t>
  </si>
  <si>
    <t xml:space="preserve">Árammérés a megérkezett lapon</t>
  </si>
  <si>
    <t xml:space="preserve">Q-14</t>
  </si>
  <si>
    <t xml:space="preserve">Teszt</t>
  </si>
  <si>
    <t xml:space="preserve">Asztali CAN-teszt: két SN65HVD230 modul (hestore CAN-TTL), ESP32-S2 mini mint ECU-szimulátor, ESP32-C3 SuperMini mint OBD node. Modulok tápfeszültsége és lezáró ellenállása ellenőrizendő.</t>
  </si>
  <si>
    <t xml:space="preserve">Felhasználó (2026-10-18)</t>
  </si>
  <si>
    <t xml:space="preserve">Q-15</t>
  </si>
  <si>
    <t xml:space="preserve">ESP32-S3-WROOM-1-N16R8 devkit (16 MB flash, 8 MB PSRAM, két USB-C). Az octal PSRAM a modulnevezés alapján feltételezett, a rendszerindítási naplóból ellenőrizendő.</t>
  </si>
  <si>
    <t xml:space="preserve">Q-16</t>
  </si>
  <si>
    <t xml:space="preserve">Márkalogók forrása és jogi helyzete (védjegy): a dolgozatban demonstrációs célra használhatók-e, vagy saját stilizált jelzések kellenek?</t>
  </si>
  <si>
    <t xml:space="preserve">Konzulens / saját mérlegelés</t>
  </si>
  <si>
    <t xml:space="preserve">Q-17</t>
  </si>
  <si>
    <t xml:space="preserve">Dolgozat</t>
  </si>
  <si>
    <t xml:space="preserve">Sablon és formai követelmények: egyetem, kar, szak; a Scribd-sablon nem tölthető le, fájlként vagy szövegként kell átadni.</t>
  </si>
  <si>
    <t xml:space="preserve">Felhasználó</t>
  </si>
  <si>
    <t xml:space="preserve">Q-10</t>
  </si>
  <si>
    <t xml:space="preserve">Gyártás</t>
  </si>
  <si>
    <t xml:space="preserve">Gerber újraexportálás a legfrissebb .kicad_pcb-ből megtörtént-e?</t>
  </si>
  <si>
    <t xml:space="preserve">Q-18</t>
  </si>
  <si>
    <t xml:space="preserve">Min. 15–20 irodalmi forrás, ebből legalább 5 idegen nyelvű; a szakirodalom a dolgozat ≥ 1/3-a; jelenleg 12 forrás (adatlapok)</t>
  </si>
  <si>
    <t xml:space="preserve">Szakirodalom bővítése (CAN/OBD-II, ESP-NOW, energiatakarékosság)</t>
  </si>
  <si>
    <t xml:space="preserve">Q-19</t>
  </si>
  <si>
    <t xml:space="preserve">Egyoldalas angol/német összefoglaló és ábrajegyzék szükséges</t>
  </si>
  <si>
    <t xml:space="preserve">Összefoglalás megírásakor</t>
  </si>
  <si>
    <t xml:space="preserve">Q-20</t>
  </si>
  <si>
    <t xml:space="preserve">Irodalomjegyzék tételeinél az adatlapok kiadási éve és megtekintési dátuma kitöltendő</t>
  </si>
  <si>
    <t xml:space="preserve">Adatlapok újbóli megnyitásával</t>
  </si>
  <si>
    <t xml:space="preserve">Q-21</t>
  </si>
  <si>
    <t xml:space="preserve">Ház</t>
  </si>
  <si>
    <t xml:space="preserve">Házak tervezése (CAD-program, PLA próbanyomat, később ABS/ASA); a Blender helyett paraméteres CAD (pl. FreeCAD) mérlegelendő</t>
  </si>
  <si>
    <t xml:space="preserve">Alkatrészek megérkezése után</t>
  </si>
  <si>
    <t xml:space="preserve">Q-22</t>
  </si>
  <si>
    <t xml:space="preserve">Beszerzés</t>
  </si>
  <si>
    <t xml:space="preserve">OBD-csatlakozó és CAN-modul összekötése forrasztás nélkül (csavaros kivezetés / vezetékes J1962 dugó); két alkatrész szállítása 10–15 munkanap</t>
  </si>
  <si>
    <t xml:space="preserve">Rendelés előtt egyeztetni</t>
  </si>
  <si>
    <t xml:space="preserve">Q-23</t>
  </si>
  <si>
    <t xml:space="preserve">A CAN-TTL modulon a képen R3 (jelölés 121 = 120 Ω) köti össze H és L vonalat: járműben az eltávolítása szükséges (40 Ω helyett 60 Ω); padon két modullal 60 Ω. Beérkezéskor ellenőrizni (multiméterrel, feszültségmentesen), és a csavaros kivezetés megléte is</t>
  </si>
  <si>
    <t xml:space="preserve">Modul beérkezése után</t>
  </si>
  <si>
    <t xml:space="preserve">Q-24</t>
  </si>
  <si>
    <t xml:space="preserve">Mérőeszköz</t>
  </si>
  <si>
    <t xml:space="preserve">Logikai analizátor (8 csatorna, 24 MHz, Saleae-kompatibilis): digitális jelekre (CAN RX/TX, I²C, ESP-NOW késleltetés GPIO-jelzéssel) elég; a 40 MHz-es QSPI és az analóg mérések (ripple, tápútváltás) nem. Oszcilloszkóp: laborban vagy később</t>
  </si>
  <si>
    <t xml:space="preserve">Eszközválasztás</t>
  </si>
  <si>
    <t xml:space="preserve">Q-25</t>
  </si>
  <si>
    <t xml:space="preserve">1. fejezet: [FORRÁS KELL] jelölések (OBD-II/EOBD bevezetés időpontjai, CAN kötelezővé tétele, ISO 15765-4 sebességek és P2 idő, BLE/ESP-NOW számértékek, piaci megoldások); könyvhivatkozások (Johnson, Ott) oldalszámai; az irodalomjegyzék megtekintési dátumai</t>
  </si>
  <si>
    <t xml:space="preserve">Források ellenőrzése a szerzővel</t>
  </si>
  <si>
    <t xml:space="preserve">Q-26</t>
  </si>
  <si>
    <t xml:space="preserve">OpenGauge.md: az OBD-panel mérete (kb. 41,8 × 59,1 mm; 80,1 mm a csatlakozóval) a kezdeti 55 × 35 mm-es korlát fölött van: a KiCad-méretezés értelmezése helyes-e, és zavarja-e a lábteret az autóban?</t>
  </si>
  <si>
    <t xml:space="preserve">KiCad-méretek újraolvasása; beépítés az autóban</t>
  </si>
  <si>
    <t xml:space="preserve">Q-27</t>
  </si>
  <si>
    <t xml:space="preserve">Indulási idő célérték: 3 s (becslés). Külön cél kell-e az alvásból ébredésre?</t>
  </si>
  <si>
    <t xml:space="preserve">M7 mérés; a protokoll-keresés és az ébresztési periódus ismeretében</t>
  </si>
  <si>
    <t xml:space="preserve">Q-28</t>
  </si>
  <si>
    <t xml:space="preserve">A két magyar műszaki leírás (obd_telemetria_…, display_node_…) néhány állítása elavult/ellentmondásos: 16 bájtos csomag (most 15 B), „&lt; 4 ms” késleltetés, csak 500 kbit/s, ELM327 „mért” késleltetés, „40–60 Hz” megjelenítés, 240…480 px kijelző, „Spotify metaadatok”, helykitöltők (1. ábra)</t>
  </si>
  <si>
    <t xml:space="preserve">Konzisztencia-átnézés a Szoftverterv és a v0.5 dolgozat szerint</t>
  </si>
  <si>
    <t xml:space="preserve">Q-29</t>
  </si>
  <si>
    <t xml:space="preserve">A klasszikus J1979 PDF (law.resource.org) ellenőrzéséhez: PID-képletek (0C, 0D, 05, 11, 42, 01), 09-es mód VIN. A feltöltött J1979-2 másolat ezt nem tartalmazza.</t>
  </si>
  <si>
    <t xml:space="preserve">A hallgató a link beillesztésével engedélyezi a megnyitást, vagy feltölti a PDF-et</t>
  </si>
  <si>
    <t xml:space="preserve">Q-30</t>
  </si>
  <si>
    <t xml:space="preserve">Címlapadatok: magyar és angol cím, név, Neptun-kód, konzulens neve és beosztása, év</t>
  </si>
  <si>
    <t xml:space="preserve">A hallgató megadja</t>
  </si>
  <si>
    <t xml:space="preserve">Q-31</t>
  </si>
  <si>
    <t xml:space="preserve">Waveshare 1,85″ modul demókódja (ST77916 init-parancssorozat) – az esp_lcd_st77916 komponenshez kell</t>
  </si>
  <si>
    <t xml:space="preserve">A hallgató letölti a Waveshare wikiből és feltölti a kijelző-meghajtó fájlt</t>
  </si>
  <si>
    <t xml:space="preserve">Q-32</t>
  </si>
  <si>
    <t xml:space="preserve">Mikor lesz hardver a hallgatónál (S2, S3, kijelző)? A hardveres napok (okt. 27–29) ettől függenek</t>
  </si>
  <si>
    <t xml:space="preserve">Q-33</t>
  </si>
  <si>
    <t xml:space="preserve">Az irodalomjegyzékben az ISO 15765-4 kiadási éve 2021, az ellenőrzött szöveg (law.resource.org) a 2005-ös kiadás: melyik kiadásra hivatkozik a dolgozat?</t>
  </si>
  <si>
    <t xml:space="preserve">A hallgató dönt, az évet és a pontszámokat egyeztetni kell</t>
  </si>
  <si>
    <t xml:space="preserve">Projekt</t>
  </si>
  <si>
    <t xml:space="preserve">Funkció</t>
  </si>
  <si>
    <t xml:space="preserve">Prioritás</t>
  </si>
  <si>
    <t xml:space="preserve">Nehézség</t>
  </si>
  <si>
    <t xml:space="preserve">Megjegyzés</t>
  </si>
  <si>
    <t xml:space="preserve">Funkciólista</t>
  </si>
  <si>
    <t xml:space="preserve">S-01</t>
  </si>
  <si>
    <t xml:space="preserve">Közös</t>
  </si>
  <si>
    <t xml:space="preserve">Csomagformátum + verzió + sorszám (közös komponens)</t>
  </si>
  <si>
    <t xml:space="preserve">P1</t>
  </si>
  <si>
    <t xml:space="preserve">Könnyű</t>
  </si>
  <si>
    <t xml:space="preserve">Mindkét projekt ezt használja; CRC16 helyett sorszám és verzió.</t>
  </si>
  <si>
    <t xml:space="preserve">S-02</t>
  </si>
  <si>
    <t xml:space="preserve">TWAI + protokollkeresés (500/250 kbps, 11/29 bit), támogatott PID-ek (01 00/20/40)</t>
  </si>
  <si>
    <t xml:space="preserve">Listen-only hallgatás, majd 01 00 kérés; fizikai címzés (0x7E0) a felfedezés után. [2026-10-21] PC-n kész és tesztelt: obd_detect (500/250 kbit/s × 11/29 bit, 01 00 → 22 F8 10, OBDonUDS jelzése). Eltérés a tervtől: a felismerés NEM használ listen-only hallgatást (a CanConfig támogatja, de nincs bekötve). Hátra: TwaiBus (hardveres illesztő).</t>
  </si>
  <si>
    <t xml:space="preserve">F-OBD-01</t>
  </si>
  <si>
    <t xml:space="preserve">S-03</t>
  </si>
  <si>
    <t xml:space="preserve">PID-ütemező (rétegelt)</t>
  </si>
  <si>
    <t xml:space="preserve">Lásd PID-terv lent. [2026-10-21] PC-n kész és tesztelt: PidScheduler (késés/periódus rangsor; 10 s-os terhelésszimuláció ≈79%).</t>
  </si>
  <si>
    <t xml:space="preserve">F-OBD-02</t>
  </si>
  <si>
    <t xml:space="preserve">S-04</t>
  </si>
  <si>
    <t xml:space="preserve">Telemetria-adás ESP-NOW-n (rögzített csatorna)</t>
  </si>
  <si>
    <t xml:space="preserve">10–20 Hz, a kész ciklusokhoz igazítva.</t>
  </si>
  <si>
    <t xml:space="preserve">F-OBD-04</t>
  </si>
  <si>
    <t xml:space="preserve">S-05</t>
  </si>
  <si>
    <t xml:space="preserve">ST77916 QSPI + háttérvilágítás-PWM</t>
  </si>
  <si>
    <t xml:space="preserve">esp_lcd_st77916 komponens; 40 MHz-ről indulni.</t>
  </si>
  <si>
    <t xml:space="preserve">F-DISP-01</t>
  </si>
  <si>
    <t xml:space="preserve">S-06</t>
  </si>
  <si>
    <t xml:space="preserve">LVGL + esp_lvgl_port, részleges frissítés, TE</t>
  </si>
  <si>
    <t xml:space="preserve">Belső SRAM puffer, a teljes képkocka PSRAM-ban.</t>
  </si>
  <si>
    <t xml:space="preserve">F-DISP-02</t>
  </si>
  <si>
    <t xml:space="preserve">S-07</t>
  </si>
  <si>
    <t xml:space="preserve">ESP-NOW vétel + sor + simítás</t>
  </si>
  <si>
    <t xml:space="preserve">Könnyű–közepes</t>
  </si>
  <si>
    <t xml:space="preserve">Callback rövid, adat queue-ba; sorszám-ellenőrzés.</t>
  </si>
  <si>
    <t xml:space="preserve">F-DISP-05</t>
  </si>
  <si>
    <t xml:space="preserve">S-08</t>
  </si>
  <si>
    <t xml:space="preserve">Műszerfal-nézet (RPM mutató, sebesség, MIL, hűtővíz)</t>
  </si>
  <si>
    <t xml:space="preserve">LVGL animáció a 10 Hz-es adat közt.</t>
  </si>
  <si>
    <t xml:space="preserve">F-DISP-04</t>
  </si>
  <si>
    <t xml:space="preserve">S-09</t>
  </si>
  <si>
    <t xml:space="preserve">CST816S érintő + gesztusok</t>
  </si>
  <si>
    <t xml:space="preserve">P2</t>
  </si>
  <si>
    <t xml:space="preserve">Reset-impulzus, alvás-letiltás; 100 kHz I²C.</t>
  </si>
  <si>
    <t xml:space="preserve">F-DISP-03</t>
  </si>
  <si>
    <t xml:space="preserve">S-10</t>
  </si>
  <si>
    <t xml:space="preserve">Másodlagos nézet (telemetria részletek)</t>
  </si>
  <si>
    <t xml:space="preserve">S-11</t>
  </si>
  <si>
    <t xml:space="preserve">Akkumulátor-mérés (IO7 ADC) és töltöttség %</t>
  </si>
  <si>
    <t xml:space="preserve">Töltés közben a feszültségből számolt % pontatlan.</t>
  </si>
  <si>
    <t xml:space="preserve">F-DISP-07</t>
  </si>
  <si>
    <t xml:space="preserve">S-12</t>
  </si>
  <si>
    <t xml:space="preserve">Light sleep + időzített busz-figyelés + key-on ébredés</t>
  </si>
  <si>
    <t xml:space="preserve">Közepes–nehéz</t>
  </si>
  <si>
    <t xml:space="preserve">Lásd H-11, V-12; méréssel finomítandó.</t>
  </si>
  <si>
    <t xml:space="preserve">F-OBD-03</t>
  </si>
  <si>
    <t xml:space="preserve">S-13</t>
  </si>
  <si>
    <t xml:space="preserve">BLE ébresztő hirdetés (OBD) + BLE szkennelés (display) + átváltás</t>
  </si>
  <si>
    <t xml:space="preserve">Nehéz</t>
  </si>
  <si>
    <t xml:space="preserve">Lásd H-15, H-16.</t>
  </si>
  <si>
    <t xml:space="preserve">S-14</t>
  </si>
  <si>
    <t xml:space="preserve">iOS médiavezérlés: Apple Media Service</t>
  </si>
  <si>
    <t xml:space="preserve">P3</t>
  </si>
  <si>
    <t xml:space="preserve">Párosítás/bonding, metaadatok, vezérlés.</t>
  </si>
  <si>
    <t xml:space="preserve">F-DISP-06</t>
  </si>
  <si>
    <t xml:space="preserve">S-15</t>
  </si>
  <si>
    <t xml:space="preserve">BLE HID médiabillentyűk (Android-tartalék)</t>
  </si>
  <si>
    <t xml:space="preserve">Csak vezérlés, metaadat nélkül.</t>
  </si>
  <si>
    <t xml:space="preserve">S-16</t>
  </si>
  <si>
    <t xml:space="preserve">Hibakódolvasás (Mode 03, 01 01 DTC-szám); csak olvasás</t>
  </si>
  <si>
    <t xml:space="preserve">Többkeretes ISO-TP szükséges (flow control). A törlés (Mode 04) kizárva: az eszköz csak olvasó marad (T-22). [2026-10-21] Az olvasási oldal (Mode 03 darabszám) PC-n kész; a hibakódpárok kibontása P3.</t>
  </si>
  <si>
    <t xml:space="preserve">S-18</t>
  </si>
  <si>
    <t xml:space="preserve">VIN lekérés (Mode 09 PID 02) minden indításnál; támogatás ellenőrzése 09 00-val</t>
  </si>
  <si>
    <t xml:space="preserve">Többkeretes ISO-TP (flow control) kell; nem minden autó adja ki. [2026-10-21] PC-n kész és tesztelt: többkeretes ISO-TP + VIN-értelmező. A VIN-formátum a klasszikus J1979 szerint ellenőrzendő (Q-29).</t>
  </si>
  <si>
    <t xml:space="preserve">S-19</t>
  </si>
  <si>
    <t xml:space="preserve">Márkafelismerés WMI-ből, logó és egyszerű indulási animáció</t>
  </si>
  <si>
    <t xml:space="preserve">Logótábla a flashben; ismeretlen WMI esetén általános logó.</t>
  </si>
  <si>
    <t xml:space="preserve">S-20</t>
  </si>
  <si>
    <t xml:space="preserve">Display → OBD üzenetkészlet (READY, HEARTBEAT, KÉRÉS, ALVÁS)</t>
  </si>
  <si>
    <t xml:space="preserve">A közös komponens része, verziózott.</t>
  </si>
  <si>
    <t xml:space="preserve">S-21</t>
  </si>
  <si>
    <t xml:space="preserve">ECU-szimulátor ESP32-S2-n: PID-válaszok (0C, 0D, 05, 11, 42, 01, 00), VIN többkeretesen flow controllal, hibakódok, buszforgalom be/ki a buszalvás és ébredés teszteléséhez</t>
  </si>
  <si>
    <t xml:space="preserve">Az S-12 és S-18 teszteléséhez kell; az S2-n nincs BLE. [2026-10-21] Az ECU-modell (ecu_model) kész és PC-n tesztelt; hátra: az S2-n futó, valós CAN-ra kötött változat.</t>
  </si>
  <si>
    <t xml:space="preserve">S-17</t>
  </si>
  <si>
    <t xml:space="preserve">Média nézet UI</t>
  </si>
  <si>
    <t xml:space="preserve">S-14/S-15 után.</t>
  </si>
  <si>
    <t xml:space="preserve">S-22</t>
  </si>
  <si>
    <t xml:space="preserve">ESP-NOW telemetria-generátor ESP32-S2-n (CAN nélkül): szintetikus RPM/sebesség/hűtővíz/MIL 10 Hz-en</t>
  </si>
  <si>
    <t xml:space="preserve">A kijelző-fejlesztés (S-07, S-08) az OBD-egység nélkül; részletek: Szoftverterv lap.</t>
  </si>
  <si>
    <t xml:space="preserve">PID-terv (kezdőértékek; az autón mérendő)</t>
  </si>
  <si>
    <t xml:space="preserve">PID</t>
  </si>
  <si>
    <t xml:space="preserve">Jel</t>
  </si>
  <si>
    <t xml:space="preserve">Gyakoriság (Hz)</t>
  </si>
  <si>
    <t xml:space="preserve">01 0C</t>
  </si>
  <si>
    <t xml:space="preserve">Fordulatszám</t>
  </si>
  <si>
    <t xml:space="preserve">Minden ciklusban</t>
  </si>
  <si>
    <t xml:space="preserve">01 0D</t>
  </si>
  <si>
    <t xml:space="preserve">Sebesség</t>
  </si>
  <si>
    <t xml:space="preserve">Lassabban változik, mint az RPM; minden 2. ciklusban</t>
  </si>
  <si>
    <t xml:space="preserve">01 11</t>
  </si>
  <si>
    <t xml:space="preserve">Fojtószelep</t>
  </si>
  <si>
    <t xml:space="preserve">Másodlagos nézethez; nem minden ECU ismeri</t>
  </si>
  <si>
    <t xml:space="preserve">01 05</t>
  </si>
  <si>
    <t xml:space="preserve">Hűtővíz hőmérséklet</t>
  </si>
  <si>
    <t xml:space="preserve">Lassan változik</t>
  </si>
  <si>
    <t xml:space="preserve">01 42</t>
  </si>
  <si>
    <t xml:space="preserve">ECU/akkumulátor feszültség</t>
  </si>
  <si>
    <t xml:space="preserve">Lassan változik; nem minden autó</t>
  </si>
  <si>
    <t xml:space="preserve">01 01</t>
  </si>
  <si>
    <t xml:space="preserve">MIL és hibakód-szám</t>
  </si>
  <si>
    <t xml:space="preserve">5 másodpercenként</t>
  </si>
  <si>
    <t xml:space="preserve">01 00/20/40</t>
  </si>
  <si>
    <t xml:space="preserve">Támogatott PID-ek</t>
  </si>
  <si>
    <t xml:space="preserve">Csak induláskor (0 = egyszer)</t>
  </si>
  <si>
    <t xml:space="preserve">Összes kérés/s</t>
  </si>
  <si>
    <t xml:space="preserve">Feltételezett idő kérésenként (ms)</t>
  </si>
  <si>
    <t xml:space="preserve">Feltevés (ECU válasz ≤ 50 ms az előírás szerint); a saját autón mérendő</t>
  </si>
  <si>
    <t xml:space="preserve">Busz-/időkihasználtság</t>
  </si>
  <si>
    <t xml:space="preserve">Ha &gt; 100%, a gyakoriságokat csökkenteni kell</t>
  </si>
  <si>
    <t xml:space="preserve">Szoftverterv – modulok, fájlok, függvények és feladatok</t>
  </si>
  <si>
    <t xml:space="preserve">Cél: kódolás előtt rögzíteni, melyik funkciót mi valósítja meg, melyik fájlban, milyen API-val. Nyelv: C++ (ESP-IDF komponensek, extern "C" app_main). Az azonosítók az S- sorokra (Szoftver lap) utalnak. A nevek munkanevek, kódolás közben pontosíthatók; a változásokat a Változtatások lapon kell vezetni.</t>
  </si>
  <si>
    <t xml:space="preserve">1. Projekt- és könyvtárszerkezet</t>
  </si>
  <si>
    <t xml:space="preserve">Elem</t>
  </si>
  <si>
    <t xml:space="preserve">Útvonal</t>
  </si>
  <si>
    <t xml:space="preserve">Feladat</t>
  </si>
  <si>
    <t xml:space="preserve">gyökér</t>
  </si>
  <si>
    <t xml:space="preserve">Project_OpenGauge/</t>
  </si>
  <si>
    <t xml:space="preserve">Git-tároló. Két önálló ESP-IDF projekt + közös komponensek + eszközök.</t>
  </si>
  <si>
    <t xml:space="preserve">közös</t>
  </si>
  <si>
    <t xml:space="preserve">components/og_protocol/</t>
  </si>
  <si>
    <t xml:space="preserve">ESP-NOW üzenetformátum, üzenettípusok, kódolás/dekódolás, sorszám-ellenőrzés. Hardverfüggetlen.</t>
  </si>
  <si>
    <t xml:space="preserve">components/og_obd/</t>
  </si>
  <si>
    <t xml:space="preserve">OBD-logika hardver nélkül: PID-tábla és dekódolás/kódolás, ISO-TP állapotgép, CAN-keret és ICanBus interfész. Az OBD-egység és az ECU-szimulátor is ezt használja.</t>
  </si>
  <si>
    <t xml:space="preserve">components/og_common/</t>
  </si>
  <si>
    <t xml:space="preserve">Naplózás-segéd, hibakód-enum (og_err_t), időbélyeg (ms), kis segédek.</t>
  </si>
  <si>
    <t xml:space="preserve">obd_node/  (target: esp32c3)</t>
  </si>
  <si>
    <t xml:space="preserve">Önálló projekt: CMakeLists.txt (EXTRA_COMPONENT_DIRS ../components), sdkconfig.defaults, main/app_main.cpp.</t>
  </si>
  <si>
    <t xml:space="preserve">obd_node/components/{board, obd_can, obd_detect, obd_scheduler, obd_link, obd_power}</t>
  </si>
  <si>
    <t xml:space="preserve">Az OBD-egység hardverfüggő részei (lásd 3. fejezet).</t>
  </si>
  <si>
    <t xml:space="preserve">display_node/  (target: esp32s3)</t>
  </si>
  <si>
    <t xml:space="preserve">Önálló projekt, ugyanilyen szerkezet.</t>
  </si>
  <si>
    <t xml:space="preserve">display_node/components/{board, disp_panel, disp_ui, disp_smooth, disp_link, disp_touch, disp_battery, disp_power}</t>
  </si>
  <si>
    <t xml:space="preserve">A kijelzőegység hardverfüggő részei.</t>
  </si>
  <si>
    <t xml:space="preserve">Eszköz</t>
  </si>
  <si>
    <t xml:space="preserve">tools/ecu_sim/  (target: esp32s2)</t>
  </si>
  <si>
    <t xml:space="preserve">ESP32-S2 mini: két üzemmód (Kconfig): (a) ESP-NOW telemetria-generátor (CAN nélkül), (b) ECU-szimulátor (TWAI + PID-válaszok).</t>
  </si>
  <si>
    <t xml:space="preserve">S-21, S-22</t>
  </si>
  <si>
    <t xml:space="preserve">tools/host_test/</t>
  </si>
  <si>
    <t xml:space="preserve">Hardver nélküli (PC-s) tesztek az og_protocol, og_obd, disp_smooth tiszta logikájára.</t>
  </si>
  <si>
    <t xml:space="preserve">dok.</t>
  </si>
  <si>
    <t xml:space="preserve">docs/</t>
  </si>
  <si>
    <t xml:space="preserve">Lábkiosztás-táblák, mérési jegyzőkönyvek, ábrák a dolgozathoz.</t>
  </si>
  <si>
    <t xml:space="preserve">2. Használt könyvtárak és API-k</t>
  </si>
  <si>
    <t xml:space="preserve">Könyvtár</t>
  </si>
  <si>
    <t xml:space="preserve">Forrás / verzió</t>
  </si>
  <si>
    <t xml:space="preserve">Mire</t>
  </si>
  <si>
    <t xml:space="preserve">Fő hívások / elemek</t>
  </si>
  <si>
    <t xml:space="preserve">Használja</t>
  </si>
  <si>
    <t xml:space="preserve">S</t>
  </si>
  <si>
    <t xml:space="preserve">ESP-IDF</t>
  </si>
  <si>
    <t xml:space="preserve">5.x legfrissebb stabil (a pontos verziót az első build rögzíti)</t>
  </si>
  <si>
    <t xml:space="preserve">Alap: FreeRTOS, naplózás, NVS, időzítők</t>
  </si>
  <si>
    <t xml:space="preserve">xTaskCreatePinnedToCore, xQueueCreate/xQueueOverwrite, ESP_LOGx, nvs_flash_init, esp_timer_get_time</t>
  </si>
  <si>
    <t xml:space="preserve">mindkettő</t>
  </si>
  <si>
    <t xml:space="preserve">esp_wifi + esp_now</t>
  </si>
  <si>
    <t xml:space="preserve">Vezeték nélküli adatátvitel, fix csatorna, nincs hozzáférési pont</t>
  </si>
  <si>
    <t xml:space="preserve">esp_wifi_init, esp_wifi_set_mode(STA), esp_wifi_set_channel, esp_now_init, esp_now_add_peer, esp_now_send, esp_now_register_recv_cb / send_cb</t>
  </si>
  <si>
    <t xml:space="preserve">S-04, S-07</t>
  </si>
  <si>
    <t xml:space="preserve">TWAI (CAN)</t>
  </si>
  <si>
    <t xml:space="preserve">ESP-IDF (driver/twai.h; újabb IDF-ben node-alapú API – az adott verzió dokumentációja szerint)</t>
  </si>
  <si>
    <t xml:space="preserve">CAN-busz elérés</t>
  </si>
  <si>
    <t xml:space="preserve">twai_driver_install, twai_start, twai_transmit, twai_receive, twai_read_alerts, twai_initiate_recovery; szűrő: twai_filter_config_t</t>
  </si>
  <si>
    <t xml:space="preserve">OBD, ecu_sim</t>
  </si>
  <si>
    <t xml:space="preserve">S-02, S-21</t>
  </si>
  <si>
    <t xml:space="preserve">esp_lcd</t>
  </si>
  <si>
    <t xml:space="preserve">Kijelző-busz és panel-absztrakció</t>
  </si>
  <si>
    <t xml:space="preserve">spi_bus_initialize, esp_lcd_new_panel_io_spi (QSPI mód), esp_lcd_panel_reset/init, esp_lcd_panel_draw_bitmap</t>
  </si>
  <si>
    <t xml:space="preserve">esp_lcd_st77916</t>
  </si>
  <si>
    <t xml:space="preserve">espressif/esp_lcd_st77916 (IDF Component Manager)</t>
  </si>
  <si>
    <t xml:space="preserve">ST77916 panelvezérlő; QSPI konfigurációs makrók</t>
  </si>
  <si>
    <t xml:space="preserve">esp_lcd_new_panel_st77916 + a gyártói (Waveshare) init-parancssorozat vendor_config-ban</t>
  </si>
  <si>
    <t xml:space="preserve">LVGL</t>
  </si>
  <si>
    <t xml:space="preserve">lvgl/lvgl 9.x (ha az esp_lvgl_port támogatja a kiválasztott verziót)</t>
  </si>
  <si>
    <t xml:space="preserve">Grafikus felület</t>
  </si>
  <si>
    <t xml:space="preserve">lv_scale / lv_arc / lv_label, lv_anim, lv_timer, lv_obj_set_style</t>
  </si>
  <si>
    <t xml:space="preserve">S-06, S-08</t>
  </si>
  <si>
    <t xml:space="preserve">esp_lvgl_port</t>
  </si>
  <si>
    <t xml:space="preserve">espressif/esp_lvgl_port</t>
  </si>
  <si>
    <t xml:space="preserve">LVGL–esp_lcd–érintő összekötés, LVGL szál</t>
  </si>
  <si>
    <t xml:space="preserve">lvgl_port_init, lvgl_port_add_disp, lvgl_port_add_touch, lvgl_port_lock/unlock</t>
  </si>
  <si>
    <t xml:space="preserve">esp_lcd_touch_cst816s</t>
  </si>
  <si>
    <t xml:space="preserve">espressif/esp_lcd_touch_cst816s</t>
  </si>
  <si>
    <t xml:space="preserve">Érintő (CST816S), I²C</t>
  </si>
  <si>
    <t xml:space="preserve">i2c_new_master_bus, esp_lcd_new_panel_io_i2c, esp_lcd_touch_new_i2c_cst816s</t>
  </si>
  <si>
    <t xml:space="preserve">LEDC</t>
  </si>
  <si>
    <t xml:space="preserve">Háttérvilágítás PWM</t>
  </si>
  <si>
    <t xml:space="preserve">ledc_timer_config, ledc_channel_config, ledc_set_duty, ledc_update_duty</t>
  </si>
  <si>
    <t xml:space="preserve">ADC oneshot</t>
  </si>
  <si>
    <t xml:space="preserve">Akkumulátor-feszültség</t>
  </si>
  <si>
    <t xml:space="preserve">adc_oneshot_new_unit, adc_oneshot_config_channel, adc_cali_create_scheme_*</t>
  </si>
  <si>
    <t xml:space="preserve">Energiagazdálkodás</t>
  </si>
  <si>
    <t xml:space="preserve">Light sleep, ébresztés</t>
  </si>
  <si>
    <t xml:space="preserve">esp_sleep_enable_timer_wakeup, esp_sleep_enable_gpio_wakeup, esp_light_sleep_start</t>
  </si>
  <si>
    <t xml:space="preserve">OBD, Display</t>
  </si>
  <si>
    <t xml:space="preserve">NimBLE</t>
  </si>
  <si>
    <t xml:space="preserve">ESP-IDF (esp_nimble)</t>
  </si>
  <si>
    <t xml:space="preserve">BLE (P2/P3, később)</t>
  </si>
  <si>
    <t xml:space="preserve">ble_gap_adv_start, ble_gap_disc, GATT kliens</t>
  </si>
  <si>
    <t xml:space="preserve">S-13…S-15</t>
  </si>
  <si>
    <t xml:space="preserve">Unity</t>
  </si>
  <si>
    <t xml:space="preserve">ESP-IDF / önálló</t>
  </si>
  <si>
    <t xml:space="preserve">Egységtesztek (PC-n és célhardveren)</t>
  </si>
  <si>
    <t xml:space="preserve">TEST_ASSERT_EQUAL_*</t>
  </si>
  <si>
    <t xml:space="preserve">tools/host_test</t>
  </si>
  <si>
    <t xml:space="preserve">3. Komponensek, fájlok és függvények</t>
  </si>
  <si>
    <t xml:space="preserve">Elv: a tiszta logika (kódolás, PID-dekódolás, ISO-TP, simítás) hardverfüggetlen osztály, a hardvert interfész mögé tesszük (pl. ICanBus). Így PC-n tesztelhető, és ugyanaz a kód fut az S2-n (szimulátor) és a C3-on.</t>
  </si>
  <si>
    <t xml:space="preserve">Komponens</t>
  </si>
  <si>
    <t xml:space="preserve">Fájl</t>
  </si>
  <si>
    <t xml:space="preserve">Függvény / osztály</t>
  </si>
  <si>
    <t xml:space="preserve">API / megjegyzés</t>
  </si>
  <si>
    <t xml:space="preserve">KÖZÖS: og_protocol</t>
  </si>
  <si>
    <t xml:space="preserve">og_protocol</t>
  </si>
  <si>
    <t xml:space="preserve">include/og_protocol.h</t>
  </si>
  <si>
    <t xml:space="preserve">OG_PROTO_VERSION; enum class MsgType; struct Header; struct TelemetryMsg / VinMsg / ReadyMsg / HeartbeatMsg / RequestMsg / SleepMsg</t>
  </si>
  <si>
    <t xml:space="preserve">Az üzenetek bináris formátuma (packed, little-endian). static_assert a méretekre (≤ 250 B, az ESP-NOW korlát).</t>
  </si>
  <si>
    <t xml:space="preserve">Mezők: lásd 5. fejezet</t>
  </si>
  <si>
    <t xml:space="preserve">include/og_codec.h, src/og_codec.cpp</t>
  </si>
  <si>
    <t xml:space="preserve">og_encode(const Msg&amp;, uint8_t* buf, size_t cap) → size_t; og_decode_header(const uint8_t*, size_t, Header&amp;) → bool; og_decode_telemetry(...)</t>
  </si>
  <si>
    <t xml:space="preserve">Szerializálás/deszerializálás, hosszellenőrzés, verzióellenőrzés (ismeretlen verzió eldobása).</t>
  </si>
  <si>
    <t xml:space="preserve">memcpy; nincs hardverfüggés</t>
  </si>
  <si>
    <t xml:space="preserve">include/og_seq.h</t>
  </si>
  <si>
    <t xml:space="preserve">og_seq_gap(uint16_t prev, uint16_t cur) → uint16_t</t>
  </si>
  <si>
    <t xml:space="preserve">Elveszett csomagok száma a 16 bites sorszám átfordulásával: (cur − prev − 1) mod 65536.</t>
  </si>
  <si>
    <t xml:space="preserve">KÖZÖS: og_obd</t>
  </si>
  <si>
    <t xml:space="preserve">og_obd</t>
  </si>
  <si>
    <t xml:space="preserve">include/can_iface.h</t>
  </si>
  <si>
    <t xml:space="preserve">struct CanFrame {id, ext, dlc, data[8]}; class ICanBus { send(frame, timeout_ms); recv(frame, timeout_ms); }</t>
  </si>
  <si>
    <t xml:space="preserve">Hardverfüggetlen CAN-interfész. Megvalósítása: TwaiBus (OBD, ecu_sim), tesztben FakeBus.</t>
  </si>
  <si>
    <t xml:space="preserve">include/pid_table.h, src/pid_table.cpp</t>
  </si>
  <si>
    <t xml:space="preserve">pid_find(pid) → const PidInfo*; pid_decode(pid, data, len, PidValue&amp;) → bool; pid_encode(pid, PidValue, data) → len</t>
  </si>
  <si>
    <t xml:space="preserve">PID-leírások (név, adatbájtok száma) és átváltások; az encode az ECU-szimulátornak kell.</t>
  </si>
  <si>
    <t xml:space="preserve">Képletek: 6. fejezet</t>
  </si>
  <si>
    <t xml:space="preserve">S-03, S-21</t>
  </si>
  <si>
    <t xml:space="preserve">include/isotp.h, src/isotp.cpp</t>
  </si>
  <si>
    <t xml:space="preserve">class IsoTp { IsoTp(ICanBus&amp;, tx_id, rx_id); request(req, req_len, resp, resp_cap, resp_len, timeout_ms) → og_err_t; }</t>
  </si>
  <si>
    <t xml:space="preserve">ISO 15765-2: egy- és többkeretes (SF/FF/CF), flow control (FC: CTS, BS, STmin), időtúllépések. Hosszú válasz: VIN, DTC-lista.</t>
  </si>
  <si>
    <t xml:space="preserve">VIN: 20 B → FF + 2 CF</t>
  </si>
  <si>
    <t xml:space="preserve">S-16, S-18</t>
  </si>
  <si>
    <t xml:space="preserve">include/obd_services.h</t>
  </si>
  <si>
    <t xml:space="preserve">obd_mode01_request(pid, buf); obd_parse_mode01(resp, len, pid, PidValue&amp;); obd_parse_dtc_count(...); obd_parse_vin(resp, len, char[18])</t>
  </si>
  <si>
    <t xml:space="preserve">Szolgáltatás-szintű kérés/válasz építés és -ellenőrzés (pozitív válasz = 0x40 + mód; negatív válasz 0x7F).</t>
  </si>
  <si>
    <t xml:space="preserve">S-02, S-16, S-18</t>
  </si>
  <si>
    <t xml:space="preserve">OBD-EGYSÉG (obd_node)</t>
  </si>
  <si>
    <t xml:space="preserve">board</t>
  </si>
  <si>
    <t xml:space="preserve">include/board_pins.h; Kconfig: BOARD_SUPERMINI / BOARD_CUSTOM_V1</t>
  </si>
  <si>
    <t xml:space="preserve">OBD_PIN_TWAI_TX, OBD_PIN_TWAI_RX, OBD_PIN_LED ...</t>
  </si>
  <si>
    <t xml:space="preserve">Lábkiosztás hardverváltozatonként (a C3 SuperMini asztali próbához, az egyedi panel a végleges).</t>
  </si>
  <si>
    <t xml:space="preserve">Egyedi panel: a GPIO-k a kapcsolási rajzból</t>
  </si>
  <si>
    <t xml:space="preserve">obd_can</t>
  </si>
  <si>
    <t xml:space="preserve">include/twai_bus.h, src/twai_bus.cpp</t>
  </si>
  <si>
    <t xml:space="preserve">class TwaiBus : ICanBus { begin(bitrate, mode, ext); set_filter_obd(ext); end(); state(); }</t>
  </si>
  <si>
    <t xml:space="preserve">A TWAI-driver burkolója: 250/500 kbit/s, normál vagy listen-only mód, hardveres szűrő a 0x7E8…0x7EF válaszokra, bus-off helyreállítás.</t>
  </si>
  <si>
    <t xml:space="preserve">Szűrő: 6. fejezet</t>
  </si>
  <si>
    <t xml:space="preserve">obd_detect</t>
  </si>
  <si>
    <t xml:space="preserve">include/obd_detect.h, src/obd_detect.cpp</t>
  </si>
  <si>
    <t xml:space="preserve">detect_protocol(TwaiBus&amp;, ProtocolInfo&amp;) → og_err_t</t>
  </si>
  <si>
    <t xml:space="preserve">Protokoll-keresés: listen-only hallgatás 500, majd 250 kbit/s sebességen; ha érvényes keret van, 01 00 kérés (0x7DF) és a támogatott PID-bitmap (01 00/20/40) eltárolása; 11 bites, majd 29 bites azonosítók. Ha a 01 00-ra nincs válasz: 22 F8 10 kérés; pozitív válasz = UDS-alapú (OBDonUDS) jármű, nem támogatott protokoll jelzése (SAE J1979-2, 4. ábra).</t>
  </si>
  <si>
    <t xml:space="preserve">Csak „gyújtás be” állapotban értelmezhető (csendes buszon nincs eredmény)</t>
  </si>
  <si>
    <t xml:space="preserve">obd_scheduler</t>
  </si>
  <si>
    <t xml:space="preserve">include/pid_scheduler.h, src/pid_scheduler.cpp</t>
  </si>
  <si>
    <t xml:space="preserve">class PidScheduler { add(pid, period_ms); next_due(now_ms) → pid; on_result(pid, ok); } ; poll_task(void*)</t>
  </si>
  <si>
    <t xml:space="preserve">A PID-terv (Szoftver lap) végrehajtása: a legrégebben esedékes PID kérése, a következő kérés azonnal a válasz után (nem fix várakozással); nem támogatott PID kihagyása; időtúllépés-számláló; kész mintából TelemetryMsg építése.</t>
  </si>
  <si>
    <t xml:space="preserve">Bottleneck az ECU válaszideje, nem a busz (6. fejezet)</t>
  </si>
  <si>
    <t xml:space="preserve">obd_link</t>
  </si>
  <si>
    <t xml:space="preserve">include/obd_link.h, src/obd_link.cpp</t>
  </si>
  <si>
    <t xml:space="preserve">link_init(channel); link_send_telemetry(const TelemetryMsg&amp;); on_recv(mac, data, len)</t>
  </si>
  <si>
    <t xml:space="preserve">ESP-NOW küldés/fogadás: a kijelző MAC-címének megjegyzése (NVS) a READY üzenet alapján, HEARTBEAT figyelése, REQUEST továbbadása a feladatnak.</t>
  </si>
  <si>
    <t xml:space="preserve">Fix csatorna Kconfig-ból; a callback csak sorba tesz</t>
  </si>
  <si>
    <t xml:space="preserve">S-04, S-20</t>
  </si>
  <si>
    <t xml:space="preserve">obd_power</t>
  </si>
  <si>
    <t xml:space="preserve">include/obd_power.h, src/obd_power.cpp</t>
  </si>
  <si>
    <t xml:space="preserve">class PowerFsm { ACTIVE, STANDBY, ... }; on_key_on(); on_bus_idle(); on_display_ready()</t>
  </si>
  <si>
    <t xml:space="preserve">Light sleep és időzített buszfigyelés, ébredés gyújtásra / kijelző-jelre.</t>
  </si>
  <si>
    <t xml:space="preserve">P2; mérésekkel finomítandó (H-11, V-12)</t>
  </si>
  <si>
    <t xml:space="preserve">main</t>
  </si>
  <si>
    <t xml:space="preserve">main/app_main.cpp</t>
  </si>
  <si>
    <t xml:space="preserve">app_main()</t>
  </si>
  <si>
    <t xml:space="preserve">NVS, link, CAN, protokoll-keresés, feladatok indítása.</t>
  </si>
  <si>
    <t xml:space="preserve">KIJELZŐEGYSÉG (display_node)</t>
  </si>
  <si>
    <t xml:space="preserve">include/board_pins.h; Kconfig: BOARD_WAVESHARE_DEVKIT / BOARD_CUSTOM_V1</t>
  </si>
  <si>
    <t xml:space="preserve">DISP_PIN_QSPI_D0..D3, _CLK, _CS, _TE, _RST, _BL, TP_SDA, TP_SCL, TP_RST, TP_INT</t>
  </si>
  <si>
    <t xml:space="preserve">Lábkiosztás hardverváltozatonként; a devkites változat a Waveshare-példa kiosztása (lásd a 4.1. szakaszt).</t>
  </si>
  <si>
    <t xml:space="preserve">Az IO7 a devkiten LCD_IO2, ezért a custom panel akkumulátor-ADC lába ott nem használható → S-11 csak a custom panelen</t>
  </si>
  <si>
    <t xml:space="preserve">S-05, S-11</t>
  </si>
  <si>
    <t xml:space="preserve">disp_panel</t>
  </si>
  <si>
    <t xml:space="preserve">include/disp_panel.h, src/disp_panel.cpp</t>
  </si>
  <si>
    <t xml:space="preserve">panel_init() → esp_lcd_panel_handle_t; panel_backlight_set(uint8_t percent); panel_selftest()</t>
  </si>
  <si>
    <t xml:space="preserve">QSPI busz, ST77916 init (gyártói parancssor), tükrözés/forgatás beállítás, LEDC háttérvilágítás, színsáv-önteszt.</t>
  </si>
  <si>
    <t xml:space="preserve">Induló órajel 40 MHz</t>
  </si>
  <si>
    <t xml:space="preserve">disp_ui</t>
  </si>
  <si>
    <t xml:space="preserve">include/disp_ui.h, src/disp_ui.cpp</t>
  </si>
  <si>
    <t xml:space="preserve">ui_init(); ui_set_telemetry(const UiData&amp;); ui_show_stale(bool); ui_switch_screen(Screen)</t>
  </si>
  <si>
    <t xml:space="preserve">LVGL-képernyők: műszerfal (RPM mutató, sebesség, MIL-jelző, hűtővíz), másodlagos nézet; „NINCS ADAT” fedőréteg. Minden LVGL-hívás lvgl_port_lock alatt.</t>
  </si>
  <si>
    <t xml:space="preserve">lv_scale, lv_anim</t>
  </si>
  <si>
    <t xml:space="preserve">S-06, S-08, S-10</t>
  </si>
  <si>
    <t xml:space="preserve">src/lvgl_setup.cpp</t>
  </si>
  <si>
    <t xml:space="preserve">lvgl_setup(panel) → lv_display_t*</t>
  </si>
  <si>
    <t xml:space="preserve">esp_lvgl_port inicializálás: 2 db részleges puffer belső DMA-képes SRAM-ban, TE jel.</t>
  </si>
  <si>
    <t xml:space="preserve">Puffer: 6. fejezet</t>
  </si>
  <si>
    <t xml:space="preserve">disp_smooth</t>
  </si>
  <si>
    <t xml:space="preserve">include/smoother.h</t>
  </si>
  <si>
    <t xml:space="preserve">class Smoother { configure(period_ms); push(value, t_ms); value(t_ms) → float; }</t>
  </si>
  <si>
    <t xml:space="preserve">A 10 Hz-es minták közti folyamatos mozgás: lineáris átmenet az előző értékről az újra egy mintaperiódus alatt (vagy LVGL-animáció ugyanezzel az idővel). Tiszta logika.</t>
  </si>
  <si>
    <t xml:space="preserve">Kompromisszum: legfeljebb 1 minta késés</t>
  </si>
  <si>
    <t xml:space="preserve">S-07, S-08</t>
  </si>
  <si>
    <t xml:space="preserve">disp_link</t>
  </si>
  <si>
    <t xml:space="preserve">include/disp_link.h, src/disp_link.cpp</t>
  </si>
  <si>
    <t xml:space="preserve">link_init(channel); on_recv(mac, data, len) [csak queue-ba]; link_task(void*); send_ready(); send_heartbeat()</t>
  </si>
  <si>
    <t xml:space="preserve">ESP-NOW vétel: a callback a nyers csomagot sorba teszi; a feladat dekódol, sorszámot ellenőriz, UiData-t frissít, „elavult adat” jelzést ad, READY/HEARTBEAT küldése.</t>
  </si>
  <si>
    <t xml:space="preserve">Elavulás: 6. fejezet</t>
  </si>
  <si>
    <t xml:space="preserve">S-07, S-20</t>
  </si>
  <si>
    <t xml:space="preserve">disp_touch</t>
  </si>
  <si>
    <t xml:space="preserve">include/disp_touch.h, src/disp_touch.cpp</t>
  </si>
  <si>
    <t xml:space="preserve">touch_init(); touch_on_swipe(cb)</t>
  </si>
  <si>
    <t xml:space="preserve">CST816S: reset-impulzus, I²C 100 kHz, kézmozdulat → képernyőváltás.</t>
  </si>
  <si>
    <t xml:space="preserve">Alvásmód letiltása a vezérlőn</t>
  </si>
  <si>
    <t xml:space="preserve">disp_battery</t>
  </si>
  <si>
    <t xml:space="preserve">include/disp_battery.h, src/disp_battery.cpp</t>
  </si>
  <si>
    <t xml:space="preserve">battery_read_mv(); battery_percent()</t>
  </si>
  <si>
    <t xml:space="preserve">ADC mérés osztón át, kalibrált érték, töltöttség %.</t>
  </si>
  <si>
    <t xml:space="preserve">Csak custom panelen; töltés közben pontatlan</t>
  </si>
  <si>
    <t xml:space="preserve">disp_power</t>
  </si>
  <si>
    <t xml:space="preserve">include/disp_power.h, src/disp_power.cpp</t>
  </si>
  <si>
    <t xml:space="preserve">class DispPowerFsm</t>
  </si>
  <si>
    <t xml:space="preserve">Kijelző alvás/ébresztés, BLE-váltás (P2/P3).</t>
  </si>
  <si>
    <t xml:space="preserve">S-12, S-13</t>
  </si>
  <si>
    <t xml:space="preserve">NVS, panel, LVGL, UI, link indítása; feladatok.</t>
  </si>
  <si>
    <t xml:space="preserve">ESZKÖZ: tools/ecu_sim (ESP32-S2)</t>
  </si>
  <si>
    <t xml:space="preserve">ecu_sim</t>
  </si>
  <si>
    <t xml:space="preserve">main/mode_telemetry.cpp</t>
  </si>
  <si>
    <t xml:space="preserve">run_telemetry_generator()</t>
  </si>
  <si>
    <t xml:space="preserve">CAN nélküli üzemmód: szintetikus TelemetryMsg (RPM szinusz + lépcső, sebesség, hűtővíz lassú rámpa, MIL kapcsolás) 10 Hz-en ESP-NOW-n. Az S-07/S-08 fejlesztéséhez, az OBD-egység nélkül.</t>
  </si>
  <si>
    <t xml:space="preserve">og_protocol + esp_now</t>
  </si>
  <si>
    <t xml:space="preserve">main/mode_ecu.cpp</t>
  </si>
  <si>
    <t xml:space="preserve">run_ecu_simulator()</t>
  </si>
  <si>
    <t xml:space="preserve">CAN-üzemmód: a 0x7DF/0x7E0 kérésekre pid_encode alapú válasz 0x7E8-ról; VIN (többkeretes) és hibakód-válasz; beállítható késleltetés (a valós ECU-válaszidő utánzására).</t>
  </si>
  <si>
    <t xml:space="preserve">TwaiBus + og_obd</t>
  </si>
  <si>
    <t xml:space="preserve">4. FreeRTOS-feladatok és sorok (kezdőértékek, a stack- és prioritásértékek mérendők)</t>
  </si>
  <si>
    <t xml:space="preserve">Egység</t>
  </si>
  <si>
    <t xml:space="preserve">Prioritás / mag</t>
  </si>
  <si>
    <t xml:space="preserve">Stack (induló)</t>
  </si>
  <si>
    <t xml:space="preserve">Ütem / ébresztés</t>
  </si>
  <si>
    <t xml:space="preserve">Kommunikáció</t>
  </si>
  <si>
    <t xml:space="preserve">poll_task (obd_scheduler)</t>
  </si>
  <si>
    <t xml:space="preserve">5</t>
  </si>
  <si>
    <t xml:space="preserve">4 KB</t>
  </si>
  <si>
    <t xml:space="preserve">folyamatos: kérés → válasz → következő kérés</t>
  </si>
  <si>
    <t xml:space="preserve">mailbox (xQueueOverwrite, 1 elem) → link_task: mindig a legfrissebb minta megy ki</t>
  </si>
  <si>
    <t xml:space="preserve">link_task (obd_link)</t>
  </si>
  <si>
    <t xml:space="preserve">4</t>
  </si>
  <si>
    <t xml:space="preserve">3 KB</t>
  </si>
  <si>
    <t xml:space="preserve">új minta vagy 100 ms</t>
  </si>
  <si>
    <t xml:space="preserve">ESP-NOW; bejövő üzenetek külön sorban (len 4)</t>
  </si>
  <si>
    <t xml:space="preserve">alert_task (TWAI)</t>
  </si>
  <si>
    <t xml:space="preserve">6</t>
  </si>
  <si>
    <t xml:space="preserve">2 KB</t>
  </si>
  <si>
    <t xml:space="preserve">twai_read_alerts (blokkoló)</t>
  </si>
  <si>
    <t xml:space="preserve">bus-off / hiba esetén helyreállítás kezdeményezése</t>
  </si>
  <si>
    <t xml:space="preserve">power_task (P2)</t>
  </si>
  <si>
    <t xml:space="preserve">3</t>
  </si>
  <si>
    <t xml:space="preserve">időzített</t>
  </si>
  <si>
    <t xml:space="preserve">állapotgép események</t>
  </si>
  <si>
    <t xml:space="preserve">lvgl_task (esp_lvgl_port)</t>
  </si>
  <si>
    <t xml:space="preserve">4 / mag 1</t>
  </si>
  <si>
    <t xml:space="preserve">6–8 KB</t>
  </si>
  <si>
    <t xml:space="preserve">lv_timer_handler, 5 ms</t>
  </si>
  <si>
    <t xml:space="preserve">lvgl_port_lock védi az LVGL-hívásokat</t>
  </si>
  <si>
    <t xml:space="preserve">link_task (disp_link)</t>
  </si>
  <si>
    <t xml:space="preserve">5 / mag 0</t>
  </si>
  <si>
    <t xml:space="preserve">blokkoló xQueueReceive</t>
  </si>
  <si>
    <t xml:space="preserve">a recv-callback → queue (len 8, 250 B-os elemek); → UiData (mutex-szal védett)</t>
  </si>
  <si>
    <t xml:space="preserve">touch (esp_lvgl_port része)</t>
  </si>
  <si>
    <t xml:space="preserve">LVGL indev</t>
  </si>
  <si>
    <t xml:space="preserve">battery_task (P2)</t>
  </si>
  <si>
    <t xml:space="preserve">2</t>
  </si>
  <si>
    <t xml:space="preserve">1 s</t>
  </si>
  <si>
    <t xml:space="preserve">UiData</t>
  </si>
  <si>
    <t xml:space="preserve">Az ESP-NOW callback a Wi-Fi feladat kontextusában fut: csak másol és sorba tesz, nem hív LVGL-t, nem naplóz sokat.</t>
  </si>
  <si>
    <t xml:space="preserve">Stack: uxTaskGetStackHighWaterMark mérés után szűkíteni</t>
  </si>
  <si>
    <t xml:space="preserve">4.1. Kijelző lábkiosztás (Waveshare 1.85" modul ↔ ESP32-S3-DevKit, a gyártói példa szerint; a kiosztás a 2026.10.19-i fényképen alapul, kapcsolás előtt egyeztetendő)</t>
  </si>
  <si>
    <t xml:space="preserve">Modul jele</t>
  </si>
  <si>
    <t xml:space="preserve">ESP32-S3 GPIO (devkit)</t>
  </si>
  <si>
    <t xml:space="preserve">Egyedi panel (S3-N8R8)</t>
  </si>
  <si>
    <t xml:space="preserve">LCD_IO0</t>
  </si>
  <si>
    <t xml:space="preserve">QSPI D0</t>
  </si>
  <si>
    <t xml:space="preserve">9</t>
  </si>
  <si>
    <t xml:space="preserve">kitöltendő a kapcsolási rajzból</t>
  </si>
  <si>
    <t xml:space="preserve">LCD_IO1</t>
  </si>
  <si>
    <t xml:space="preserve">QSPI D1</t>
  </si>
  <si>
    <t xml:space="preserve">8</t>
  </si>
  <si>
    <t xml:space="preserve">LCD_IO2</t>
  </si>
  <si>
    <t xml:space="preserve">QSPI D2</t>
  </si>
  <si>
    <t xml:space="preserve">7</t>
  </si>
  <si>
    <t xml:space="preserve">Az egyedi panelen az IO7 az akkumulátor-ADC</t>
  </si>
  <si>
    <t xml:space="preserve">LCD_IO3</t>
  </si>
  <si>
    <t xml:space="preserve">QSPI D3</t>
  </si>
  <si>
    <t xml:space="preserve">LCD_CLK</t>
  </si>
  <si>
    <t xml:space="preserve">QSPI CLK</t>
  </si>
  <si>
    <t xml:space="preserve">LCD_CS</t>
  </si>
  <si>
    <t xml:space="preserve">Chip select</t>
  </si>
  <si>
    <t xml:space="preserve">LCD_TE</t>
  </si>
  <si>
    <t xml:space="preserve">Tearing effect</t>
  </si>
  <si>
    <t xml:space="preserve">18</t>
  </si>
  <si>
    <t xml:space="preserve">Szinkron a képkockákhoz</t>
  </si>
  <si>
    <t xml:space="preserve">LCD_RST</t>
  </si>
  <si>
    <t xml:space="preserve">Reset</t>
  </si>
  <si>
    <t xml:space="preserve">39</t>
  </si>
  <si>
    <t xml:space="preserve">LCD_BL</t>
  </si>
  <si>
    <t xml:space="preserve">Háttérvilágítás (PWM)</t>
  </si>
  <si>
    <t xml:space="preserve">TP_SDA</t>
  </si>
  <si>
    <t xml:space="preserve">Érintő I²C SDA</t>
  </si>
  <si>
    <t xml:space="preserve">10</t>
  </si>
  <si>
    <t xml:space="preserve">TP_SCL</t>
  </si>
  <si>
    <t xml:space="preserve">Érintő I²C SCL</t>
  </si>
  <si>
    <t xml:space="preserve">11</t>
  </si>
  <si>
    <t xml:space="preserve">TP_RST</t>
  </si>
  <si>
    <t xml:space="preserve">Érintő reset</t>
  </si>
  <si>
    <t xml:space="preserve">40</t>
  </si>
  <si>
    <t xml:space="preserve">TP_INT</t>
  </si>
  <si>
    <t xml:space="preserve">Érintő megszakítás</t>
  </si>
  <si>
    <t xml:space="preserve">41</t>
  </si>
  <si>
    <t xml:space="preserve">VCC / GND</t>
  </si>
  <si>
    <t xml:space="preserve">Táp</t>
  </si>
  <si>
    <t xml:space="preserve">3V3 / GND</t>
  </si>
  <si>
    <t xml:space="preserve">A 35–37-es GPIO-k az N8R8 modul oktális PSRAM-jáé, ezeket a kiosztás elkerüli.</t>
  </si>
  <si>
    <t xml:space="preserve">5. ESP-NOW üzenetformátum (little-endian, packed; verzió: 1)</t>
  </si>
  <si>
    <t xml:space="preserve">Üzenet</t>
  </si>
  <si>
    <t xml:space="preserve">Mező</t>
  </si>
  <si>
    <t xml:space="preserve">Típus</t>
  </si>
  <si>
    <t xml:space="preserve">Egység / átváltás</t>
  </si>
  <si>
    <t xml:space="preserve">Méret</t>
  </si>
  <si>
    <t xml:space="preserve">Header (minden üzenet)</t>
  </si>
  <si>
    <t xml:space="preserve">ver, type, seq</t>
  </si>
  <si>
    <t xml:space="preserve">u8, u8, u16</t>
  </si>
  <si>
    <t xml:space="preserve">seq küldőnként növekvő, átfordul</t>
  </si>
  <si>
    <t xml:space="preserve">4 B</t>
  </si>
  <si>
    <t xml:space="preserve">TELEMETRY</t>
  </si>
  <si>
    <t xml:space="preserve">flags</t>
  </si>
  <si>
    <t xml:space="preserve">u16</t>
  </si>
  <si>
    <t xml:space="preserve">bit0 RPM, bit1 sebesség, bit2 hűtővíz, bit3 fojtószelep, bit4 akkufesz., bit5 MIL érvényes</t>
  </si>
  <si>
    <t xml:space="preserve">Az „érvényes” bit jelzi, hogy a mező friss/támogatott</t>
  </si>
  <si>
    <t xml:space="preserve">2 B</t>
  </si>
  <si>
    <t xml:space="preserve">rpm</t>
  </si>
  <si>
    <t xml:space="preserve">1/4 ford/perc (nyers OBD érték)</t>
  </si>
  <si>
    <t xml:space="preserve">kijelzőn: rpm/4</t>
  </si>
  <si>
    <t xml:space="preserve">speed</t>
  </si>
  <si>
    <t xml:space="preserve">u8</t>
  </si>
  <si>
    <t xml:space="preserve">km/h</t>
  </si>
  <si>
    <t xml:space="preserve"> </t>
  </si>
  <si>
    <t xml:space="preserve">1 B</t>
  </si>
  <si>
    <t xml:space="preserve">coolant</t>
  </si>
  <si>
    <t xml:space="preserve">i16</t>
  </si>
  <si>
    <t xml:space="preserve">°C</t>
  </si>
  <si>
    <t xml:space="preserve">throttle</t>
  </si>
  <si>
    <t xml:space="preserve">0…255 → 0…100 %</t>
  </si>
  <si>
    <t xml:space="preserve">vbat</t>
  </si>
  <si>
    <t xml:space="preserve">mV</t>
  </si>
  <si>
    <t xml:space="preserve">PID 0x42</t>
  </si>
  <si>
    <t xml:space="preserve">mil_dtc</t>
  </si>
  <si>
    <t xml:space="preserve">bit7 = MIL, bit0..6 = hibakódok száma</t>
  </si>
  <si>
    <t xml:space="preserve">PID 01 01, A bájt</t>
  </si>
  <si>
    <t xml:space="preserve">TELEMETRY – összesen</t>
  </si>
  <si>
    <t xml:space="preserve">15 B (ESP-NOW max. 250 B)</t>
  </si>
  <si>
    <t xml:space="preserve">15 B</t>
  </si>
  <si>
    <t xml:space="preserve">VIN</t>
  </si>
  <si>
    <t xml:space="preserve">vin[18]</t>
  </si>
  <si>
    <t xml:space="preserve">char</t>
  </si>
  <si>
    <t xml:space="preserve">17 ASCII + lezáró</t>
  </si>
  <si>
    <t xml:space="preserve">Indításkor, egyszer</t>
  </si>
  <si>
    <t xml:space="preserve">22 B</t>
  </si>
  <si>
    <t xml:space="preserve">READY</t>
  </si>
  <si>
    <t xml:space="preserve">role, fw_version</t>
  </si>
  <si>
    <t xml:space="preserve">u8, u8</t>
  </si>
  <si>
    <t xml:space="preserve">A kijelző jelzi, hogy fogad; tartalmazza a párosítást</t>
  </si>
  <si>
    <t xml:space="preserve">6 B</t>
  </si>
  <si>
    <t xml:space="preserve">HEARTBEAT</t>
  </si>
  <si>
    <t xml:space="preserve">uptime_s</t>
  </si>
  <si>
    <t xml:space="preserve">u32</t>
  </si>
  <si>
    <t xml:space="preserve">Kapcsolat- és életjel</t>
  </si>
  <si>
    <t xml:space="preserve">8 B</t>
  </si>
  <si>
    <t xml:space="preserve">REQUEST</t>
  </si>
  <si>
    <t xml:space="preserve">code, arg</t>
  </si>
  <si>
    <t xml:space="preserve">0 = VIN, 1 = hibakódok olvasása (a törlés nem támogatott, T-22)</t>
  </si>
  <si>
    <t xml:space="preserve">Kijelző → OBD</t>
  </si>
  <si>
    <t xml:space="preserve">SLEEP</t>
  </si>
  <si>
    <t xml:space="preserve">reason</t>
  </si>
  <si>
    <t xml:space="preserve">Alvásra készülés jelzése</t>
  </si>
  <si>
    <t xml:space="preserve">5 B</t>
  </si>
  <si>
    <t xml:space="preserve">6. Számítások és képletek a megvalósításhoz</t>
  </si>
  <si>
    <t xml:space="preserve">Képlet / érték</t>
  </si>
  <si>
    <t xml:space="preserve">Magyarázat</t>
  </si>
  <si>
    <t xml:space="preserve">Hol használjuk</t>
  </si>
  <si>
    <t xml:space="preserve">PID-dekódolás (SAE J1979)</t>
  </si>
  <si>
    <t xml:space="preserve">RPM = (256·A + B) / 4 ; sebesség = A ; hűtővíz = A − 40 ; fojtószelep = A·100/255 ; akkufeszültség = (256·A + B) / 1000 V ; MIL = A.7 ; hibakódok = A &amp; 0x7F</t>
  </si>
  <si>
    <t xml:space="preserve">A, B a válasz adatbájtjai (01 0C válasz: 04 41 0C A B).</t>
  </si>
  <si>
    <t xml:space="preserve">pid_table</t>
  </si>
  <si>
    <t xml:space="preserve">TWAI-szűrő (11 bites, egy szűrő)</t>
  </si>
  <si>
    <t xml:space="preserve">acceptance_code = 0x7E8 &lt;&lt; 21 = 0xFD000000 ; acceptance_mask = 0x00FFFFFF</t>
  </si>
  <si>
    <t xml:space="preserve">A mask 1-es bitjei „nem számít”: az azonosító alsó 3 bitje (0x7E8…0x7EF) és az alatta lévő 21 bit.</t>
  </si>
  <si>
    <t xml:space="preserve">TwaiBus::set_filter_obd</t>
  </si>
  <si>
    <t xml:space="preserve">ISO-TP: VIN-válasz</t>
  </si>
  <si>
    <t xml:space="preserve">49 02 01 + 17 karakter = 20 B → első keret (FF) 6 B + két folytatókeret (CF) 7 + 7 B</t>
  </si>
  <si>
    <t xml:space="preserve">A kérdező az FF után folyamvezérlő keretet (FC: 0x30, BS = 0, STmin = 0) küld. PCI: FF = 0x10 | hossz_hi, hossz_lo; CF = 0x21, 0x22.</t>
  </si>
  <si>
    <t xml:space="preserve">IsoTp</t>
  </si>
  <si>
    <t xml:space="preserve">PID-terv terhelése</t>
  </si>
  <si>
    <t xml:space="preserve">Σ kérés/s = 19,7 ; 19,7 · 40 ms ≈ 0,79</t>
  </si>
  <si>
    <t xml:space="preserve">Egy 8 bájtos keret 0,22…0,27 ms a buszon (500 kbit/s), tehát a szűk keresztmetszet az ECU válaszideje (feltevés: 40 ms), nem a busz. 79% kihasználtság kevés tartalékot hagy: az autón mérni kell, és szükség esetén a gyakoriságot csökkenteni.</t>
  </si>
  <si>
    <t xml:space="preserve">PidScheduler</t>
  </si>
  <si>
    <t xml:space="preserve">LVGL-puffer</t>
  </si>
  <si>
    <t xml:space="preserve">360 · 40 sor · 2 B = 28 800 B ; ×2 puffer = 57 600 B (belső SRAM)</t>
  </si>
  <si>
    <t xml:space="preserve">Teljes képkocka: 360·360·2 = 259 200 B ≈ 253 KiB (PSRAM). Átvitel 40 MHz-es QSPI-n (4 bit/órajel): 259 200 · 8 / (40·10⁶ · 4) = 12,96 ms; egy 40 soros sáv 1,44 ms.</t>
  </si>
  <si>
    <t xml:space="preserve">lvgl_setup</t>
  </si>
  <si>
    <t xml:space="preserve">Simítás</t>
  </si>
  <si>
    <t xml:space="preserve">minta-periódus T = 100 ms (10 Hz); kijelző ~30 fps → kb. 3 képkocka/minta</t>
  </si>
  <si>
    <t xml:space="preserve">A kijelzett érték az előző értékről az újra T idő alatt lineárisan (vagy LVGL-animációval) halad; ennek ára legfeljebb egy mintányi (≤ 100 ms) késés. Extrapoláció nem kell (túllövés).</t>
  </si>
  <si>
    <t xml:space="preserve">Smoother, disp_ui</t>
  </si>
  <si>
    <t xml:space="preserve">Elavult adat</t>
  </si>
  <si>
    <t xml:space="preserve">küszöb = 500 ms (≈ 5 kihagyott minta 10 Hz-nél)</t>
  </si>
  <si>
    <t xml:space="preserve">Ha ennyi ideig nem érkezik csomag, a kijelző „NINCS ADAT” jelzést ad. Sorszámhiány: lost = (seq − seq_prev − 1) mod 65536.</t>
  </si>
  <si>
    <t xml:space="preserve">Protokoll-keresés ideje</t>
  </si>
  <si>
    <t xml:space="preserve">kb. 2 × 300 ms (feltevés) listen-only hallgatás sebességenként</t>
  </si>
  <si>
    <t xml:space="preserve">A pontos várakozást az autón kell mérni; a gyújtásnak bekapcsolva kell lennie.</t>
  </si>
  <si>
    <t xml:space="preserve">7. Fejlesztési sorrend (mérföldkövek)</t>
  </si>
  <si>
    <t xml:space="preserve">Mérföldkő</t>
  </si>
  <si>
    <t xml:space="preserve">Cél</t>
  </si>
  <si>
    <t xml:space="preserve">Hardver</t>
  </si>
  <si>
    <t xml:space="preserve">Elfogadási kritérium</t>
  </si>
  <si>
    <t xml:space="preserve">Kapcsolódó S</t>
  </si>
  <si>
    <t xml:space="preserve">M0 Környezet</t>
  </si>
  <si>
    <t xml:space="preserve">ESP-IDF + VS Code + git; mindkét üres projekt és a közös komponensek lefordulnak</t>
  </si>
  <si>
    <t xml:space="preserve">PC</t>
  </si>
  <si>
    <t xml:space="preserve">idf.py build mindkét projekten hibátlan</t>
  </si>
  <si>
    <t xml:space="preserve">Mappaváz kész (Project_OpenGauge_v0_1.zip); ESP-IDF telepítése és az első build hátravan</t>
  </si>
  <si>
    <t xml:space="preserve">M1 Protokoll</t>
  </si>
  <si>
    <t xml:space="preserve">og_protocol, og_seq, pid_table; PC-s egységtesztek</t>
  </si>
  <si>
    <t xml:space="preserve">Kódolás→dekódolás kör egyezik; sorszám-átfordulás helyes; PID-képletek ismert példákkal</t>
  </si>
  <si>
    <t xml:space="preserve">Váz/kód kész, PC-n tesztelve; ESP-IDF-fel még nem fordítva</t>
  </si>
  <si>
    <t xml:space="preserve">M2 Kijelző-bring-up</t>
  </si>
  <si>
    <t xml:space="preserve">Panel inicializálás, színsáv, háttérvilágítás</t>
  </si>
  <si>
    <t xml:space="preserve">S3 devkit + kijelző</t>
  </si>
  <si>
    <t xml:space="preserve">Mind a 360×360 pixel helyes színnel; fényerő szabályozható</t>
  </si>
  <si>
    <t xml:space="preserve">M3 LVGL</t>
  </si>
  <si>
    <t xml:space="preserve">esp_lvgl_port, műszerfal álló adattal, majd animációval</t>
  </si>
  <si>
    <t xml:space="preserve">Folyamatos mutatómozgás, TE-szinkron, nincs szakadás; kép-/másodpercszám mérése</t>
  </si>
  <si>
    <t xml:space="preserve">M4 ESP-NOW</t>
  </si>
  <si>
    <t xml:space="preserve">S2 telemetria-generátor → S3 kijelző, sorszám- és elavulásjelzés</t>
  </si>
  <si>
    <t xml:space="preserve">S2 mini + S3 + kijelző</t>
  </si>
  <si>
    <t xml:space="preserve">Folyamatos 10 Hz, veszteségmérés; adó kikapcsolásakor „NINCS ADAT”</t>
  </si>
  <si>
    <t xml:space="preserve">S-07, S-22</t>
  </si>
  <si>
    <t xml:space="preserve">M5 Érintés</t>
  </si>
  <si>
    <t xml:space="preserve">CST816S, képernyőváltás</t>
  </si>
  <si>
    <t xml:space="preserve">S3 + kijelző</t>
  </si>
  <si>
    <t xml:space="preserve">Kézmozdulat megbízhatóan vált nézetet</t>
  </si>
  <si>
    <t xml:space="preserve">S-09, S-10</t>
  </si>
  <si>
    <t xml:space="preserve">M6 CAN-oldal</t>
  </si>
  <si>
    <t xml:space="preserve">TwaiBus, ECU-szimulátor, ISO-TP, PID-ütemező, protokoll-keresés</t>
  </si>
  <si>
    <t xml:space="preserve">C3 SuperMini + 2 CAN-TTL modul + S2</t>
  </si>
  <si>
    <t xml:space="preserve">A szimulátorról PID-értékek és a VIN helyesen olvashatók; a kijelzőn megjelenik</t>
  </si>
  <si>
    <t xml:space="preserve">S-02, S-03, S-18, S-21</t>
  </si>
  <si>
    <t xml:space="preserve">A rendelés megérkezése után</t>
  </si>
  <si>
    <t xml:space="preserve">M7 Autós mérés</t>
  </si>
  <si>
    <t xml:space="preserve">Valós ECU: válaszidő, PID-terv terhelése, protokoll-keresés</t>
  </si>
  <si>
    <t xml:space="preserve">C3 + OBD csatlakozó + autó</t>
  </si>
  <si>
    <t xml:space="preserve">Mért ECU-válaszidő rögzítve; ütemezés ennek megfelelően hangolva</t>
  </si>
  <si>
    <t xml:space="preserve">Később</t>
  </si>
  <si>
    <t xml:space="preserve">M8 Egyedi panelek</t>
  </si>
  <si>
    <t xml:space="preserve">Ugyanaz a kód az egyedi paneleken (board_pins.h)</t>
  </si>
  <si>
    <t xml:space="preserve">OBD és kijelző NYÁK</t>
  </si>
  <si>
    <t xml:space="preserve">Az M2–M7 kritériumai az egyedi paneleken is teljesülnek</t>
  </si>
  <si>
    <t xml:space="preserve">M9 Energia / BLE / média</t>
  </si>
  <si>
    <t xml:space="preserve">Light sleep, ébresztés, BLE, médiavezérlés (P2/P3)</t>
  </si>
  <si>
    <t xml:space="preserve">egyedi panelek + telefon</t>
  </si>
  <si>
    <t xml:space="preserve">Mért alvóáram a datasheet-értékek közelében</t>
  </si>
  <si>
    <t xml:space="preserve">S-11…S-15</t>
  </si>
  <si>
    <t xml:space="preserve">Nap</t>
  </si>
  <si>
    <t xml:space="preserve">Leszállítandó eredmény</t>
  </si>
  <si>
    <t xml:space="preserve">Hardver kell?</t>
  </si>
  <si>
    <t xml:space="preserve">Kapcsolódó S / M</t>
  </si>
  <si>
    <t xml:space="preserve">Kockázat, megjegyzés</t>
  </si>
  <si>
    <t xml:space="preserve">Sze</t>
  </si>
  <si>
    <t xml:space="preserve">1. fejezet lezárása; fejlesztői környezet</t>
  </si>
  <si>
    <t xml:space="preserve">Dolgozat v0.6 (kész). ESP-IDF 5.5.5 telepítése és mindhárom projekt első buildje (M0). Hiányzik: J1979 PDF, címlapadatok, ISO-évek, Johnson/Ott oldalszámok.</t>
  </si>
  <si>
    <t xml:space="preserve">Nem</t>
  </si>
  <si>
    <t xml:space="preserve">M0</t>
  </si>
  <si>
    <t xml:space="preserve">A felhő-oldali fordítás nem működik (a PyPI nem érhető el), az első build a hallgató gépén fut.</t>
  </si>
  <si>
    <t xml:space="preserve">Folyamatban</t>
  </si>
  <si>
    <t xml:space="preserve">2026-10-22</t>
  </si>
  <si>
    <t xml:space="preserve">Cs</t>
  </si>
  <si>
    <t xml:space="preserve">CAN-oldal logika PC-n (1)</t>
  </si>
  <si>
    <t xml:space="preserve">Virtuális ECU (ecu_model) + FakeBus; ISO-TP állapotgép (SF/FF/CF/FC); obd_services; PC-s tesztek (VIN többkeretes, hibás keretek, időtúllépés). [2026-10-21: a két nap anyaga már PC-n elkészült és tesztelt.]</t>
  </si>
  <si>
    <t xml:space="preserve">S-02, S-16 (olvasás), S-18, M6 logika</t>
  </si>
  <si>
    <t xml:space="preserve">A tiszta logika hardver nélkül teljesen tesztelhető.</t>
  </si>
  <si>
    <t xml:space="preserve">2026-10-23</t>
  </si>
  <si>
    <t xml:space="preserve">P</t>
  </si>
  <si>
    <t xml:space="preserve">CAN-oldal logika PC-n (2)</t>
  </si>
  <si>
    <t xml:space="preserve">PidScheduler + protokoll-felismerés a virtuális ECU-n állítható válaszidővel; TelemetryMsg összeállítás; terhelés mérése szimulációban. [2026-10-21: a két nap anyaga már PC-n elkészült és tesztelt.]</t>
  </si>
  <si>
    <t xml:space="preserve">S-02, S-03</t>
  </si>
  <si>
    <t xml:space="preserve">A 79%-os terhelés-becslés itt szimulációban ellenőrizhető (valós ECU-idő nélkül).</t>
  </si>
  <si>
    <t xml:space="preserve">2026-10-24 – 25</t>
  </si>
  <si>
    <t xml:space="preserve">Szo–V</t>
  </si>
  <si>
    <t xml:space="preserve">Felület PC-n: LVGL fejetlen (headless) szimuláció</t>
  </si>
  <si>
    <t xml:space="preserve">A disp_ui és a Smoother ugyanazzal a kóddal PC-n fut; a képernyőt PNG-ként renderelem és megnézem; szintetikus telemetriával (RPM-lépcső, sebesség, MIL, „NINCS ADAT").</t>
  </si>
  <si>
    <t xml:space="preserve">Az LVGL forrás GitHubról tölthető. A tényleges megjelenés (színek, sebesség) csak a kijelzőn ellenőrizhető.</t>
  </si>
  <si>
    <t xml:space="preserve">2026-10-26</t>
  </si>
  <si>
    <t xml:space="preserve">H</t>
  </si>
  <si>
    <t xml:space="preserve">Kapcsolat-logika és ESP-IDF illesztők</t>
  </si>
  <si>
    <t xml:space="preserve">obd_link / disp_link logika memóriabeli átvitellel (sorszám, elavulás, párosítás); az ESP-IDF illesztőkód (esp_now, TWAI, esp_lcd) megírva, fordítva a hallgató gépén. board_pins a fejlesztői panelhez.</t>
  </si>
  <si>
    <t xml:space="preserve">S-04, S-07, S-20</t>
  </si>
  <si>
    <t xml:space="preserve">Itt derülnek ki az ESP-IDF 5.5.5 API-eltérések; a fordítási hibákat a hallgató visszaküldi.</t>
  </si>
  <si>
    <t xml:space="preserve">2026-10-27 – 29</t>
  </si>
  <si>
    <t xml:space="preserve">K–Cs</t>
  </si>
  <si>
    <t xml:space="preserve">Hardveres napok (otthon): kijelző és ESP-NOW</t>
  </si>
  <si>
    <t xml:space="preserve">M2: panel bring-up (ST77916 init, háttérvilágítás). M3: LVGL a kijelzőn. M4: S2 tesztadó → S3 kijelző, csomagvesztés mérése.</t>
  </si>
  <si>
    <t xml:space="preserve">S3 + kijelző + S2</t>
  </si>
  <si>
    <t xml:space="preserve">S-05, S-06, S-07, S-22, M2–M4</t>
  </si>
  <si>
    <t xml:space="preserve">FŐ KOCKÁZAT: az ST77916 gyártói init-sorozat (Waveshare demókód kell). A dátum az otthonlét idejétől függ.</t>
  </si>
  <si>
    <t xml:space="preserve">2026-10-30</t>
  </si>
  <si>
    <t xml:space="preserve">Érintés, másodlagos nézet</t>
  </si>
  <si>
    <t xml:space="preserve">CST816S, képernyőváltás, másodlagos nézet (M5).</t>
  </si>
  <si>
    <t xml:space="preserve">Ha az M2–M4 csúszik, ez átcsúszik november elejére.</t>
  </si>
  <si>
    <t xml:space="preserve">2026-10-31</t>
  </si>
  <si>
    <t xml:space="preserve">Szo</t>
  </si>
  <si>
    <t xml:space="preserve">Lezárás, mérések, tartalék</t>
  </si>
  <si>
    <t xml:space="preserve">Mérési jegyzőkönyv (képfrissítés, csomagvesztés), napló és dokumentáció frissítése, a 3. fejezet vázlatának egyeztetése a kóddal.</t>
  </si>
  <si>
    <t xml:space="preserve">Opcionális</t>
  </si>
  <si>
    <t xml:space="preserve">Tartaléknap.</t>
  </si>
  <si>
    <t xml:space="preserve">Október után</t>
  </si>
  <si>
    <t xml:space="preserve">Nem tervezett az október végéig</t>
  </si>
  <si>
    <t xml:space="preserve">Valós CAN-teszt (a CAN-modulok és a C3 megérkezése után), alvó üzemmód és BLE-ébresztés (S-12, S-13), médiavezérlés (S-14, S-15), autós mérés (M7), egyedi panelek (M8).</t>
  </si>
  <si>
    <t xml:space="preserve">Igen</t>
  </si>
  <si>
    <t xml:space="preserve">S-12…S-15, M7–M9</t>
  </si>
  <si>
    <t xml:space="preserve">A P3 funkciók valószínűleg kimaradnak; a dolgozatban továbbfejlesztési lehetőségként szerepelnek.</t>
  </si>
  <si>
    <t xml:space="preserve">Forrás (az irodalomjegyzék szerint)</t>
  </si>
  <si>
    <t xml:space="preserve">Hol hivatkozom (pont)</t>
  </si>
  <si>
    <t xml:space="preserve">Mire használom a dolgozatban</t>
  </si>
  <si>
    <t xml:space="preserve">Mit kell ellenőrizni / teendő</t>
  </si>
  <si>
    <t xml:space="preserve">Állapot</t>
  </si>
  <si>
    <t xml:space="preserve">ao3401a</t>
  </si>
  <si>
    <t xml:space="preserve">ALPHA &amp; OMEGA SEMICONDUCTOR: AO3401A 30 V P-Channel Enhancement Mode MOSFET. Adatlap. https://aosmd.com/sites/default/files/res/data_sheets/AO3401A.pdf Megtekintés dátuma: [kitöltendő]</t>
  </si>
  <si>
    <t xml:space="preserve">2.4.2, 2.7</t>
  </si>
  <si>
    <t xml:space="preserve">A P-FET kapcsolási adatai (R_DS(on), V_GS(th), lábkiosztás 1=G, 2=S, 3=D).</t>
  </si>
  <si>
    <t xml:space="preserve">Nyisd meg, nézd meg a V_GS(th) és R_DS(on) értékeket és a lábkiosztást; írd be a megtekintés dátumát.</t>
  </si>
  <si>
    <t xml:space="preserve">Megtekintési dátum: kitöltendő</t>
  </si>
  <si>
    <t xml:space="preserve">bosch</t>
  </si>
  <si>
    <t xml:space="preserve">BOSCH, R.: CAN Specification, Version 2.0. Robert Bosch GmbH, Stuttgart, 1991.</t>
  </si>
  <si>
    <t xml:space="preserve">Szabvány-specifikáció</t>
  </si>
  <si>
    <t xml:space="preserve">1.2</t>
  </si>
  <si>
    <t xml:space="preserve">A CAN eredete és működése.</t>
  </si>
  <si>
    <t xml:space="preserve">Keress rá: „Bosch CAN Specification 2.0 pdf”. Ha nincs hozzáférésed, elég a TI ismertető (sloa101); ekkor ezt a tételt töröld a szövegből.</t>
  </si>
  <si>
    <t xml:space="preserve">davis</t>
  </si>
  <si>
    <t xml:space="preserve">DAVIS, R. I. – BURNS, A. – BRIL, R. J. – LUKKIEN, J. J.: Controller Area Network (CAN) schedulability analysis: Refuted, revisited and revised. Real-Time Systems 35 (3) 2007. pp. 239–272. [Oldalszámok ellenőrzendők]</t>
  </si>
  <si>
    <t xml:space="preserve">Folyóiratcikk (idegen nyelvű)</t>
  </si>
  <si>
    <t xml:space="preserve">A 8 bájtos CAN-keret legfeljebb kb. 135 bit hosszú bitbeszúrással.</t>
  </si>
  <si>
    <t xml:space="preserve">Keress rá: „Davis Burns Bril Lukkien Controller Area Network schedulability analysis refuted revisited revised”. Ellenőrizd a 135 bites értéket és az oldalszámokat.</t>
  </si>
  <si>
    <t xml:space="preserve">elm327</t>
  </si>
  <si>
    <t xml:space="preserve">ELM ELECTRONICS: ELM327 OBD to RS232 Interpreter. Adatlap. https://cdn.sparkfun.com/assets/learn_tutorials/8/3/datasheet.pdf (másolat) Megtekintés dátuma: [kitöltendő]</t>
  </si>
  <si>
    <t xml:space="preserve">1.3, 1.5</t>
  </si>
  <si>
    <t xml:space="preserve">Az ELM327 működése, protokolljai, soros sebessége.</t>
  </si>
  <si>
    <t xml:space="preserve">A gyártó (elmelectronics.com) saját datasheetjét keresd meg; ha megvan, cseréld a másolat linkjét a hivatalosra.</t>
  </si>
  <si>
    <t xml:space="preserve">espidf</t>
  </si>
  <si>
    <t xml:space="preserve">ESPRESSIF SYSTEMS: ESP-IDF Programming Guide. https://docs.espressif.com/projects/esp-idf/ Megtekintés dátuma: [kitöltendő]</t>
  </si>
  <si>
    <t xml:space="preserve">Gyártói dokumentáció</t>
  </si>
  <si>
    <t xml:space="preserve">1.4, 2.2.1</t>
  </si>
  <si>
    <t xml:space="preserve">ESP-NOW működése, a 250 bájtos korlát, titkosított társak, koegzisztencia.</t>
  </si>
  <si>
    <t xml:space="preserve">Nyisd meg az ESP-NOW és a Coexistence oldalakat, ellenőrizd a 250 bájtot és a BLE-vel való korlátozást; kösd a használt ESP-IDF verzióhoz.</t>
  </si>
  <si>
    <t xml:space="preserve">c3</t>
  </si>
  <si>
    <t xml:space="preserve">ESPRESSIF SYSTEMS: ESP32-C3-WROOM-02 Datasheet. https://www.espressif.com/sites/default/files/documentation/esp32-c3-wroom-02_datasheet_en.pdf Megtekintés dátuma: [kitöltendő]</t>
  </si>
  <si>
    <t xml:space="preserve">1.4, 2.2.2, 2.3.4</t>
  </si>
  <si>
    <t xml:space="preserve">ESP32-C3 áramfelvétel: light sleep 130 µA, deep sleep 5 µA, modem sleep 16–28 mA; TWAI.</t>
  </si>
  <si>
    <t xml:space="preserve">A 6.4.2. és 6.4.1. szakaszok táblázatai. A link a gyártó oldalára irányít át (documentation.espressif.com), használd azt.</t>
  </si>
  <si>
    <t xml:space="preserve">s3</t>
  </si>
  <si>
    <t xml:space="preserve">ESPRESSIF SYSTEMS: ESP32-S3-WROOM-1 and ESP32-S3-WROOM-1U Datasheet. https://www.espressif.com/sites/default/files/documentation/esp32-s3-wroom-1_wroom-1u_datasheet_en.pdf Megtekintés dátuma: [kitöltendő]</t>
  </si>
  <si>
    <t xml:space="preserve">1.4, 2.2.2, 2.4</t>
  </si>
  <si>
    <t xml:space="preserve">ESP32-S3: nincs klasszikus Bluetooth, 8 MB PSRAM, light sleep / modem sleep áram.</t>
  </si>
  <si>
    <t xml:space="preserve">Ellenőrizd az áramfelvételi táblázatot és a PSRAM miatt korlátozott GPIO-k listáját.</t>
  </si>
  <si>
    <t xml:space="preserve">esphdg</t>
  </si>
  <si>
    <t xml:space="preserve">ESPRESSIF SYSTEMS: ESP Hardware Design Guidelines – ESP32-S3, PCB Layout Design. https://docs.espressif.com/projects/esp-hardware-design-guidelines/en/latest/esp32s3/pcb-layout-design.html Megtekintés dátuma: [kitöltendő]</t>
  </si>
  <si>
    <t xml:space="preserve">Gyártói útmutató</t>
  </si>
  <si>
    <t xml:space="preserve">1.6, 2.5</t>
  </si>
  <si>
    <t xml:space="preserve">NYÁK-elrendezési ajánlás: 4 réteg, földsík, USB 90 Ω, antenna a kártya szélén.</t>
  </si>
  <si>
    <t xml:space="preserve">Az ESP32-S3 verzió PCB Layout Design oldala. Ellenőrizd az idézett számokat (15 mm, 90 Ω).</t>
  </si>
  <si>
    <t xml:space="preserve">eu715</t>
  </si>
  <si>
    <t xml:space="preserve">EURÓPAI PARLAMENT ÉS TANÁCS: 715/2007/EK rendelet a személygépkocsik és könnyű haszongépjárművek kibocsátásának típusjóváhagyásáról (Euro 5 és Euro 6) és a javítási és karbantartási információkhoz való hozzáférésről (a 2012. június 4-i egységes szerkezetű angol szöveg). https://www.legislation.gov.uk/eur/2007/715/2012-06-04/data.html Megtekintés dátuma: [kitöltendő]</t>
  </si>
  <si>
    <t xml:space="preserve">Jogszabály</t>
  </si>
  <si>
    <t xml:space="preserve">1.1</t>
  </si>
  <si>
    <t xml:space="preserve">Az OBD definíciója (3. cikk 9.), a hozzáférés a javítási információkhoz (6. cikk), az alkalmazás kezdete.</t>
  </si>
  <si>
    <t xml:space="preserve">Magyar nyelvű változatot is megadhatsz az EUR-Lex-en (CELEX 32007R0715). Ellenőrizd a cikkszámokat.</t>
  </si>
  <si>
    <t xml:space="preserve">iso11898</t>
  </si>
  <si>
    <t xml:space="preserve">ISO 11898-2: Road vehicles – Controller area network (CAN) – Part 2: High-speed medium access unit. Kiadás éve: [kitöltendő]</t>
  </si>
  <si>
    <t xml:space="preserve">Szabvány</t>
  </si>
  <si>
    <t xml:space="preserve">A CAN fizikai rétege.</t>
  </si>
  <si>
    <t xml:space="preserve">Az egyetemi könyvtárban (MSZ szabvány) vagy az ISO oldalán nézd meg; ha csak a TI ismertető érhető el, a szöveget a szabvány címének említésével hagyd.</t>
  </si>
  <si>
    <t xml:space="preserve">iso15765</t>
  </si>
  <si>
    <t xml:space="preserve">ISO 15765-4: Road vehicles – Diagnostic communication over Controller Area Network (DoCAN) – Part 4: Requirements for emissions-related systems. Kiadás éve: [kitöltendő]</t>
  </si>
  <si>
    <t xml:space="preserve">1.3, 2.3.3</t>
  </si>
  <si>
    <t xml:space="preserve">500/250 kbit/s, 11/29 bit, címzés, P2 = 50 ms.</t>
  </si>
  <si>
    <t xml:space="preserve">Ezt a szabványt nehéz megszerezni; az egyetemi könyvtár vagy egy másodlagos forrás (pl. CSS Electronics, Vector ISO-TP/OBD2 leírás) segíthet. A P2 időzítés pontos értékét ellenőrizd.</t>
  </si>
  <si>
    <t xml:space="preserve">iso15765_2</t>
  </si>
  <si>
    <t xml:space="preserve">ISO 15765-2: Road vehicles – Diagnostic communication over Controller Area Network (DoCAN) – Part 2: Transport protocol and network layer services. Kiadás éve: [kitöltendő]</t>
  </si>
  <si>
    <t xml:space="preserve">1.3</t>
  </si>
  <si>
    <t xml:space="preserve">ISO-TP: Single/First/Consecutive/Flow Control kerettípusok.</t>
  </si>
  <si>
    <t xml:space="preserve">Mint az ISO 15765-4; a kerettípusokat több ingyenes leírásban (Wikipédia nem tudományos, ezért csak kiegészítésként) is megtalálod.</t>
  </si>
  <si>
    <t xml:space="preserve">iso3779</t>
  </si>
  <si>
    <t xml:space="preserve">ISO 3779: Road vehicles – Vehicle identification number (VIN) – Content and structure. Kiadás éve: [kitöltendő]</t>
  </si>
  <si>
    <t xml:space="preserve">A VIN felépítése, WMI = első 3 karakter.</t>
  </si>
  <si>
    <t xml:space="preserve">Szabvány, vagy másodlagos forrás a WMI-listáról.</t>
  </si>
  <si>
    <t xml:space="preserve">jlcpcb</t>
  </si>
  <si>
    <t xml:space="preserve">JLCPCB: PCB Manufacturing &amp; Assembly Capabilities. https://jlcpcb.com/capabilities/pcb-capabilities Megtekintés dátuma: [kitöltendő]</t>
  </si>
  <si>
    <t xml:space="preserve">Gyártói oldal</t>
  </si>
  <si>
    <t xml:space="preserve">1.6, 2.5, 2.7</t>
  </si>
  <si>
    <t xml:space="preserve">Gyártási paraméterek, a rendelés utólagos módosíthatatlansága.</t>
  </si>
  <si>
    <t xml:space="preserve">Ellenőrizd az oldal tartalmát; a rendelés módosítási szabályát a JLCPCB-vel váltott levelezésből is dokumentálhatod (melléklet).</t>
  </si>
  <si>
    <t xml:space="preserve">johnson</t>
  </si>
  <si>
    <t xml:space="preserve">JOHNSON, H. – GRAHAM, M.: High-Speed Digital Design: A Handbook of Black Magic. Prentice Hall, Upper Saddle River, 1993. [Hivatkozott oldalak kitöltendők]</t>
  </si>
  <si>
    <t xml:space="preserve">Szakkönyv</t>
  </si>
  <si>
    <t xml:space="preserve">1.6</t>
  </si>
  <si>
    <t xml:space="preserve">Visszatérő áram, hurokinduktivitás, elektromosan hosszú vezeték (t_pd &gt; t_r/6).</t>
  </si>
  <si>
    <t xml:space="preserve">Könyvtárból kérd el, keresd meg a fejezetet a földsíkról / transmission line-okról, és írd be a pontos oldalszámot.</t>
  </si>
  <si>
    <t xml:space="preserve">tp4056</t>
  </si>
  <si>
    <t xml:space="preserve">NANJING TOP POWER ASIC CORP.: TP4056 1A Standalone Linear Li-Ion Battery Charger. Adatlap. https://www.mikrocontroller.net/attachment/273612/TP4056.pdf (harmadik fél által tárolt másolat; gyártói oldal nem található) Megtekintés dátuma: [kitöltendő]</t>
  </si>
  <si>
    <t xml:space="preserve">2.4.2</t>
  </si>
  <si>
    <t xml:space="preserve">Töltőáram: I = 1200 / R_PROG, töltésbefejezés I_BAT &lt; I_CHG/10.</t>
  </si>
  <si>
    <t xml:space="preserve">A gyártó (NanJing Top Power) oldalát keresd; a link harmadik fél másolatára mutat.</t>
  </si>
  <si>
    <t xml:space="preserve">ott</t>
  </si>
  <si>
    <t xml:space="preserve">OTT, H. W.: Electromagnetic Compatibility Engineering. John Wiley &amp; Sons, Hoboken, 2009. [Hivatkozott oldalak kitöltendők]</t>
  </si>
  <si>
    <t xml:space="preserve">Visszatérő áram nagy frekvencián, EMC-elvek.</t>
  </si>
  <si>
    <t xml:space="preserve">Mint a Johnson könyvnél: fejezet és oldalszám.</t>
  </si>
  <si>
    <t xml:space="preserve">saej1962</t>
  </si>
  <si>
    <t xml:space="preserve">SAE INTERNATIONAL: SAE J1962 – Diagnostic Connector. [Kiadás éve és elérhetőség kitöltendő]</t>
  </si>
  <si>
    <t xml:space="preserve">J1962 csatlakozó lábkiosztása (6 = CANH, 14 = CANL, 16 = akkumulátor).</t>
  </si>
  <si>
    <t xml:space="preserve">Szabvány vagy hivatalos ábra; a lábkiosztást több gyártói leírás is mutatja, ellenőrizd.</t>
  </si>
  <si>
    <t xml:space="preserve">saej1979</t>
  </si>
  <si>
    <t xml:space="preserve">SAE INTERNATIONAL: SAE J1979 – E/E Diagnostic Test Modes. [Kiadás éve és elérhetőség kitöltendő]</t>
  </si>
  <si>
    <t xml:space="preserve">Mode 01 PID-ek és képleteik.</t>
  </si>
  <si>
    <t xml:space="preserve">A PID-képletek ellenőrzése szabványból vagy megbízható másodlagos forrásból.</t>
  </si>
  <si>
    <t xml:space="preserve">sloa101</t>
  </si>
  <si>
    <t xml:space="preserve">TEXAS INSTRUMENTS: Introduction to the Controller Area Network (CAN). Application Report SLOA101. https://www.ti.com/lit/SLOA101 Megtekintés dátuma: [kitöltendő]</t>
  </si>
  <si>
    <t xml:space="preserve">Alkalmazási ismertető (TI)</t>
  </si>
  <si>
    <t xml:space="preserve">CAN jelszintek, arbitráció, keretmezők, bitbeszúrás, hibakezelés, lezárás.</t>
  </si>
  <si>
    <t xml:space="preserve">A tartalmat a SLOA101A szövegéből ellenőriztem; a hivatkozás a mostani B változatra mutat, nézd meg, hogy a szöveg ott is megegyezik-e.</t>
  </si>
  <si>
    <t xml:space="preserve">lmr36006</t>
  </si>
  <si>
    <t xml:space="preserve">TEXAS INSTRUMENTS: LMR36006 adatlap, Layout Guidelines (SNVSB48C). https://www.ti.com/document-viewer/lit/html/SNVSB48C/layout-guidelines-snvsay71410 Megtekintés dátuma: [kitöltendő]</t>
  </si>
  <si>
    <t xml:space="preserve">Adatlap (elrendezési fejezet)</t>
  </si>
  <si>
    <t xml:space="preserve">Buck konverter elrendezési szabályai (forró hurok, SW-csomópont, FB).</t>
  </si>
  <si>
    <t xml:space="preserve">Az LMR36006 adatlap Layout fejezete; a szabályok a TPS54302-re is alkalmazhatók, ezt jelezd, és ha lehet, a TPS54302 saját layout fejezetét is említsd.</t>
  </si>
  <si>
    <t xml:space="preserve">sn65</t>
  </si>
  <si>
    <t xml:space="preserve">TEXAS INSTRUMENTS: SN65HVD230, SN65HVD231, SN65HVD232 3.3-V CAN Transceivers (SLOS346O, 2018. április). Adatlap. https://www.ti.com/document-viewer/SN65HVD230/datasheet Megtekintés dátuma: [kitöltendő]</t>
  </si>
  <si>
    <t xml:space="preserve">2.3.3</t>
  </si>
  <si>
    <t xml:space="preserve">Üzemmódok: standby/sleep, vevő viselkedése, lábkiosztás.</t>
  </si>
  <si>
    <t xml:space="preserve">SLOS346O: nézd át az RS láb táblázatát; hogy az SN65HVD231 alvó módjában a vevő kikapcsol.</t>
  </si>
  <si>
    <t xml:space="preserve">tlv</t>
  </si>
  <si>
    <t xml:space="preserve">TEXAS INSTRUMENTS: TLV757P 1-A, Low-IQ, Small-Size, Low-Dropout Voltage Regulator. Adatlap. https://www.ti.com/product/TLV757P Megtekintés dátuma: [kitöltendő]</t>
  </si>
  <si>
    <t xml:space="preserve">2.4.3</t>
  </si>
  <si>
    <t xml:space="preserve">TLV75733: 1 A, kiesés ≈ 200 mV @ 1 A.</t>
  </si>
  <si>
    <t xml:space="preserve">Ellenőrizd a kiesési feszültség és a hőellenállás (θ_JA) adatokat.</t>
  </si>
  <si>
    <t xml:space="preserve">tps54302</t>
  </si>
  <si>
    <t xml:space="preserve">TEXAS INSTRUMENTS: TPS54302 4.5-V to 28-V Input, 3-A Output, EMI Friendly Synchronous Step-Down Converter. Adatlap. https://www.ti.com/product/TPS54302 Megtekintés dátuma: [kitöltendő]</t>
  </si>
  <si>
    <t xml:space="preserve">2.3.2, 2.3.1</t>
  </si>
  <si>
    <t xml:space="preserve">Vref = 0,596 V, 400 kHz, bemeneti feszültségtartomány és abszolút maximum.</t>
  </si>
  <si>
    <t xml:space="preserve">Ellenőrizd a V_ref értékét és az abszolút maximális bemeneti feszültséget (TVS-méretezés).</t>
  </si>
  <si>
    <t xml:space="preserve">waveshare</t>
  </si>
  <si>
    <t xml:space="preserve">WAVESHARE: 1.85inch Touch LCD Module (SKU 35079). https://docs.waveshare.com/1.85inch_Touch_LCD_Module Megtekintés dátuma: [kitöltendő]</t>
  </si>
  <si>
    <t xml:space="preserve">2.4.1</t>
  </si>
  <si>
    <t xml:space="preserve">A kijelzőmodul adatai, FPC-kiosztás, vezérlők.</t>
  </si>
  <si>
    <t xml:space="preserve">A kiosztást vesd össze a J2-vel (16–18. láb), az I²C-címet és a felhúzókat nézd meg a kapcsolási rajzon.</t>
  </si>
  <si>
    <t xml:space="preserve">F-01</t>
  </si>
  <si>
    <t xml:space="preserve">OBD-II (kaliforniai szabályozás, 1996) és az EOBD európai bevezetése</t>
  </si>
  <si>
    <t xml:space="preserve">Hivatalos forrás</t>
  </si>
  <si>
    <t xml:space="preserve">Még hiányzó forrás ([FORRÁS KELL])</t>
  </si>
  <si>
    <t xml:space="preserve">Keress rá: „Directive 98/69/EC EOBD” és „CARB OBD II 1996 regulation”. A cél: a dátumok és a kötelezővé tétel hivatalos alátámasztása.</t>
  </si>
  <si>
    <t xml:space="preserve">F-02</t>
  </si>
  <si>
    <t xml:space="preserve">A CAN kötelezővé tétele az USA-ban és az EU-ban</t>
  </si>
  <si>
    <t xml:space="preserve">Részben: a szöveg az ISO 15765-4 1. pontjára épül (jogszabály szerinti OBD); a kötelezővé tétel éveit a szöveg már nem állítja. Igény esetén: Bizottsági rendelet 692/2008.</t>
  </si>
  <si>
    <t xml:space="preserve">részben</t>
  </si>
  <si>
    <t xml:space="preserve">F-03</t>
  </si>
  <si>
    <t xml:space="preserve">ISO 15765-4: sebességek (250/500 kbit/s) és a P2 válaszidő</t>
  </si>
  <si>
    <t xml:space="preserve">Szabvány vagy másodlagos forrás</t>
  </si>
  <si>
    <t xml:space="preserve">1.2, 1.3</t>
  </si>
  <si>
    <t xml:space="preserve">Sebességek és azonosítók: ISO 15765-4 (2005. kiadás) 8.2 és 6.3.2 pont, ellenőrizve. A P2 = 50 ms az SAE J1979-2 12. táblázatából ellenőrizve (F-07); az ISO 15031-5 / klasszikus J1979 megfelelő pontja még nincs ellenőrizve.</t>
  </si>
  <si>
    <t xml:space="preserve">F-04</t>
  </si>
  <si>
    <t xml:space="preserve">Bluetooth LE és klasszikus Bluetooth: csatlakozási időköz, adatméret; ELM327 BT adapterek SPP-t használnak</t>
  </si>
  <si>
    <t xml:space="preserve">Specifikáció és termékleírás</t>
  </si>
  <si>
    <t xml:space="preserve">1.4</t>
  </si>
  <si>
    <t xml:space="preserve">Keress rá: „Bluetooth Core Specification connection interval 7.5 ms”, „ELM327 Bluetooth adapter SPP”. A cél: a 2. táblázat számainak és a „klasszikus Bluetooth” állításnak az ellenőrzése.</t>
  </si>
  <si>
    <t xml:space="preserve">F-05</t>
  </si>
  <si>
    <t xml:space="preserve">Piaci megoldások (ELM327-adapterek, HUD-kijelzők)</t>
  </si>
  <si>
    <t xml:space="preserve">Termékoldalak, cikk</t>
  </si>
  <si>
    <t xml:space="preserve">1.5</t>
  </si>
  <si>
    <t xml:space="preserve">Az OBDLink MX termékoldal beépítve ([@obdlink]): Bluetooth 3.0, SPP, ELM327-parancskészlet, iOS nem támogatott. További termék opcionális.</t>
  </si>
  <si>
    <t xml:space="preserve">F-06</t>
  </si>
  <si>
    <t xml:space="preserve">Kijelző- és akkumulátoradatok (LP803040 cella, védelem)</t>
  </si>
  <si>
    <t xml:space="preserve">Gyártói adatlap</t>
  </si>
  <si>
    <t xml:space="preserve">2.4.2, 2.6</t>
  </si>
  <si>
    <t xml:space="preserve">A kiválasztott cella adatlapja: névleges kapacitás, védelem, megengedett töltőáram. A cél: a 3.4. pont és az 5.1–5.2. pont állításainak alátámasztása.</t>
  </si>
  <si>
    <t xml:space="preserve">F-07</t>
  </si>
  <si>
    <t xml:space="preserve">SAE J1979-2 – E/E Diagnostic Test Modes: OBDonUDS (2026)</t>
  </si>
  <si>
    <t xml:space="preserve">Szabvány (részleges másolat, 32/105 oldal)</t>
  </si>
  <si>
    <t xml:space="preserve">P2 = 50 ms és P2* = 5000 ms (12. táblázat); a J1979 és J1979-2 kizárják egymást; protokoll-felismerés (4. ábra); szolgáltatás-megfeleltetés (3. táblázat)</t>
  </si>
  <si>
    <t xml:space="preserve">Ellenőrizve a feltöltött részleges másolatból. A klasszikus J1979 PID-képleteit és a 09-es mód VIN-formátumát ez NEM tartalmazza: ahhoz a klasszikus J1979 szükséges (Q-29).</t>
  </si>
  <si>
    <t xml:space="preserve">ellenőrizve (részben)</t>
  </si>
  <si>
    <t xml:space="preserve">Javasolt magyar kifejezés</t>
  </si>
  <si>
    <t xml:space="preserve">Mellőzendő / angol</t>
  </si>
  <si>
    <t xml:space="preserve">OBD-adapter</t>
  </si>
  <si>
    <t xml:space="preserve">dongle</t>
  </si>
  <si>
    <t xml:space="preserve">OBD-II csatlakozóba dugható adatgyűjtő egység; a dolgozatban végig 'OBD-csomópont' vagy 'OBD-adapter'.</t>
  </si>
  <si>
    <t xml:space="preserve">csomópont</t>
  </si>
  <si>
    <t xml:space="preserve">node</t>
  </si>
  <si>
    <t xml:space="preserve">A két egység neve: OBD-csomópont, kijelző-csomópont.</t>
  </si>
  <si>
    <t xml:space="preserve">nyomtatott áramköri lap (NYÁK)</t>
  </si>
  <si>
    <t xml:space="preserve">PCB, panel, lap</t>
  </si>
  <si>
    <t xml:space="preserve">Első említéskor kiírva, utána NYÁK.</t>
  </si>
  <si>
    <t xml:space="preserve">kapcsolási rajz</t>
  </si>
  <si>
    <t xml:space="preserve">schematic</t>
  </si>
  <si>
    <t xml:space="preserve">alkatrészjegyzék</t>
  </si>
  <si>
    <t xml:space="preserve">BOM</t>
  </si>
  <si>
    <t xml:space="preserve">Első említéskor zárójelben: (BOM).</t>
  </si>
  <si>
    <t xml:space="preserve">mikrovezérlő</t>
  </si>
  <si>
    <t xml:space="preserve">mikrokontroller</t>
  </si>
  <si>
    <t xml:space="preserve">Egy, a dolgozat egészében következetes alak.</t>
  </si>
  <si>
    <t xml:space="preserve">adó-vevő</t>
  </si>
  <si>
    <t xml:space="preserve">transceiver</t>
  </si>
  <si>
    <t xml:space="preserve">CAN adó-vevő (SN65HVD231).</t>
  </si>
  <si>
    <t xml:space="preserve">keret</t>
  </si>
  <si>
    <t xml:space="preserve">CAN-csomag, frame</t>
  </si>
  <si>
    <t xml:space="preserve">CAN-hálózaton 'keret'; az ESP-NOW-n 'csomag'.</t>
  </si>
  <si>
    <t xml:space="preserve">csomag</t>
  </si>
  <si>
    <t xml:space="preserve">packet</t>
  </si>
  <si>
    <t xml:space="preserve">Az ESP-NOW és BLE adatáramlására.</t>
  </si>
  <si>
    <t xml:space="preserve">alvó mód</t>
  </si>
  <si>
    <t xml:space="preserve">sleep</t>
  </si>
  <si>
    <t xml:space="preserve">Light sleep és deep sleep: 'könnyű alvás', 'mély alvás', az angol név zárójelben.</t>
  </si>
  <si>
    <t xml:space="preserve">ébresztés</t>
  </si>
  <si>
    <t xml:space="preserve">wake-up</t>
  </si>
  <si>
    <t xml:space="preserve">kitöltési tényező</t>
  </si>
  <si>
    <t xml:space="preserve">duty cycle</t>
  </si>
  <si>
    <t xml:space="preserve">BLE-ablak: pl. 15 ms / 1,5 s.</t>
  </si>
  <si>
    <t xml:space="preserve">tápfeszültség</t>
  </si>
  <si>
    <t xml:space="preserve">VCC, supply</t>
  </si>
  <si>
    <t xml:space="preserve">Jelölés: V_SYS, +3,3 V, a kapcsolási rajz szerint.</t>
  </si>
  <si>
    <t xml:space="preserve">védődióda / TVS-dióda</t>
  </si>
  <si>
    <t xml:space="preserve">TVS</t>
  </si>
  <si>
    <t xml:space="preserve">Tranziensvédő dióda; első említéskor 'tranziensfeszültség-védő (TVS) dióda'.</t>
  </si>
  <si>
    <t xml:space="preserve">biztosíték (PPTC)</t>
  </si>
  <si>
    <t xml:space="preserve">fuse, polifuse</t>
  </si>
  <si>
    <t xml:space="preserve">Visszaálló biztosíték (PPTC).</t>
  </si>
  <si>
    <t xml:space="preserve">forrasztóhíd</t>
  </si>
  <si>
    <t xml:space="preserve">jumper</t>
  </si>
  <si>
    <t xml:space="preserve">JP1, JP2.</t>
  </si>
  <si>
    <t xml:space="preserve">beágyazott szoftver</t>
  </si>
  <si>
    <t xml:space="preserve">firmware</t>
  </si>
  <si>
    <t xml:space="preserve">Első említéskor zárójelben: (firmware).</t>
  </si>
  <si>
    <t xml:space="preserve">kijelzővezérlő</t>
  </si>
  <si>
    <t xml:space="preserve">display driver</t>
  </si>
  <si>
    <t xml:space="preserve">Az ST77916 vezérlő IC.</t>
  </si>
  <si>
    <t xml:space="preserve">érintővezérlő</t>
  </si>
  <si>
    <t xml:space="preserve">touch controller</t>
  </si>
  <si>
    <t xml:space="preserve">CST816S.</t>
  </si>
  <si>
    <t xml:space="preserve">hálózati réteg / protokoll</t>
  </si>
  <si>
    <t xml:space="preserve">stack</t>
  </si>
  <si>
    <t xml:space="preserve">vezeték nélküli kapcsolat</t>
  </si>
  <si>
    <t xml:space="preserve">wireless link</t>
  </si>
  <si>
    <t xml:space="preserve">hibakód</t>
  </si>
  <si>
    <t xml:space="preserve">DTC</t>
  </si>
  <si>
    <t xml:space="preserve">Első említéskor: (DTC, Diagnostic Trouble Code).</t>
  </si>
  <si>
    <t xml:space="preserve">gyártóazonosító (WMI)</t>
  </si>
  <si>
    <t xml:space="preserve">WMI</t>
  </si>
  <si>
    <t xml:space="preserve">A VIN első három karaktere.</t>
  </si>
  <si>
    <t xml:space="preserve">Javaslat: a konzulenssel egyeztetendő, mert az elvárás szóhasználati következetesség.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</si>
</sst>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23.25" hidden="false" customHeight="true" outlineLevel="0" collapsed="false">
      <c r="A17" s="3"/>
    </row>
    <row r="18" customFormat="false" ht="23.25" hidden="false" customHeight="tru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15</v>
      </c>
    </row>
    <row r="3" customFormat="false" ht="15" hidden="false" customHeight="true" outlineLevel="0" collapsed="false">
      <c r="A3" s="6" t="s">
        <v>16</v>
      </c>
      <c r="B3" s="6" t="n">
        <f aca="false">COUNTA(Hibák!A2:A500)</f>
        <v>18</v>
      </c>
    </row>
    <row r="4" customFormat="false" ht="15" hidden="false" customHeight="true" outlineLevel="0" collapsed="false">
      <c r="A4" s="6" t="s">
        <v>17</v>
      </c>
      <c r="B4" s="6" t="n">
        <f aca="false">COUNTIF(Hibák!F2:F500,"Kritikus")</f>
        <v>0</v>
      </c>
    </row>
    <row r="5" customFormat="false" ht="15" hidden="false" customHeight="true" outlineLevel="0" collapsed="false">
      <c r="A5" s="6" t="s">
        <v>18</v>
      </c>
      <c r="B5" s="6" t="n">
        <f aca="false">COUNTIF(Hibák!F2:F500,"Magas")</f>
        <v>6</v>
      </c>
    </row>
    <row r="6" customFormat="false" ht="15" hidden="false" customHeight="true" outlineLevel="0" collapsed="false">
      <c r="A6" s="6" t="s">
        <v>19</v>
      </c>
      <c r="B6" s="6" t="n">
        <f aca="false">COUNTIF(Hibák!F2:F500,"Közepes")</f>
        <v>6</v>
      </c>
    </row>
    <row r="7" customFormat="false" ht="15" hidden="false" customHeight="true" outlineLevel="0" collapsed="false">
      <c r="A7" s="6" t="s">
        <v>20</v>
      </c>
      <c r="B7" s="6" t="n">
        <f aca="false">COUNTIF(Hibák!F2:F500,"Alacsony")</f>
        <v>6</v>
      </c>
    </row>
    <row r="8" customFormat="false" ht="15" hidden="false" customHeight="true" outlineLevel="0" collapsed="false">
      <c r="A8" s="6" t="s">
        <v>21</v>
      </c>
      <c r="B8" s="6" t="n">
        <f aca="false">COUNTIF(Hibák!J2:J500,"Nyitott")+COUNTIF(Hibák!J2:J500,"Tervezett*")+COUNTIF(Hibák!J2:J500,"Ellenőrizendő")+COUNTIF(Hibák!J2:J500,"Szoftveres megoldás tervezve")</f>
        <v>10</v>
      </c>
    </row>
    <row r="9" customFormat="false" ht="15" hidden="false" customHeight="true" outlineLevel="0" collapsed="false">
      <c r="A9" s="6" t="s">
        <v>22</v>
      </c>
      <c r="B9" s="6" t="n">
        <f aca="false">COUNTA(Változtatások!A2:A500)</f>
        <v>33</v>
      </c>
    </row>
    <row r="10" customFormat="false" ht="15" hidden="false" customHeight="true" outlineLevel="0" collapsed="false">
      <c r="A10" s="6" t="s">
        <v>23</v>
      </c>
      <c r="B10" s="6" t="n">
        <f aca="false">COUNTIF(Változtatások!H2:H500,"Tervezett")</f>
        <v>1</v>
      </c>
    </row>
    <row r="11" customFormat="false" ht="15" hidden="false" customHeight="true" outlineLevel="0" collapsed="false">
      <c r="A11" s="6" t="s">
        <v>24</v>
      </c>
      <c r="B11" s="6" t="n">
        <f aca="false">COUNTA(Tervezés!A2:A500)</f>
        <v>23</v>
      </c>
    </row>
    <row r="12" customFormat="false" ht="15" hidden="false" customHeight="true" outlineLevel="0" collapsed="false">
      <c r="A12" s="6" t="s">
        <v>25</v>
      </c>
      <c r="B12" s="6" t="n">
        <f aca="false">COUNTIF('Nyitott kérdések'!E2:E500,"Nyitott")</f>
        <v>21</v>
      </c>
    </row>
    <row r="13" customFormat="false" ht="15" hidden="false" customHeight="true" outlineLevel="0" collapsed="false">
      <c r="A13" s="6" t="s">
        <v>26</v>
      </c>
      <c r="B13" s="6" t="n">
        <f aca="false">COUNTIF(Szoftver!A2:A40,"S-*")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8" min="8" style="1" width="55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22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</row>
    <row r="2" customFormat="false" ht="34.5" hidden="false" customHeight="true" outlineLevel="0" collapsed="false">
      <c r="A2" s="8" t="s">
        <v>38</v>
      </c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</row>
    <row r="3" customFormat="false" ht="34.5" hidden="false" customHeight="true" outlineLevel="0" collapsed="false">
      <c r="A3" s="8" t="s">
        <v>49</v>
      </c>
      <c r="B3" s="8" t="s">
        <v>39</v>
      </c>
      <c r="C3" s="8" t="s">
        <v>40</v>
      </c>
      <c r="D3" s="8" t="s">
        <v>50</v>
      </c>
      <c r="E3" s="8" t="s">
        <v>51</v>
      </c>
      <c r="F3" s="8" t="s">
        <v>52</v>
      </c>
      <c r="G3" s="8" t="s">
        <v>53</v>
      </c>
      <c r="H3" s="8" t="s">
        <v>54</v>
      </c>
      <c r="I3" s="8" t="s">
        <v>55</v>
      </c>
      <c r="J3" s="8" t="s">
        <v>56</v>
      </c>
      <c r="K3" s="8" t="s">
        <v>57</v>
      </c>
    </row>
    <row r="4" customFormat="false" ht="23.25" hidden="false" customHeight="true" outlineLevel="0" collapsed="false">
      <c r="A4" s="8" t="s">
        <v>58</v>
      </c>
      <c r="B4" s="8" t="s">
        <v>39</v>
      </c>
      <c r="C4" s="8" t="s">
        <v>40</v>
      </c>
      <c r="D4" s="8" t="s">
        <v>59</v>
      </c>
      <c r="E4" s="8" t="s">
        <v>60</v>
      </c>
      <c r="F4" s="8" t="s">
        <v>43</v>
      </c>
      <c r="G4" s="8" t="s">
        <v>61</v>
      </c>
      <c r="H4" s="8" t="s">
        <v>62</v>
      </c>
      <c r="I4" s="8" t="s">
        <v>55</v>
      </c>
      <c r="J4" s="8" t="s">
        <v>56</v>
      </c>
      <c r="K4" s="8" t="s">
        <v>63</v>
      </c>
    </row>
    <row r="5" customFormat="false" ht="23.25" hidden="false" customHeight="true" outlineLevel="0" collapsed="false">
      <c r="A5" s="8" t="s">
        <v>64</v>
      </c>
      <c r="B5" s="8" t="s">
        <v>39</v>
      </c>
      <c r="C5" s="8" t="s">
        <v>40</v>
      </c>
      <c r="D5" s="9" t="s">
        <v>65</v>
      </c>
      <c r="E5" s="8" t="s">
        <v>66</v>
      </c>
      <c r="F5" s="8" t="s">
        <v>52</v>
      </c>
      <c r="G5" s="9" t="s">
        <v>67</v>
      </c>
      <c r="H5" s="8" t="s">
        <v>68</v>
      </c>
      <c r="I5" s="8" t="s">
        <v>55</v>
      </c>
      <c r="J5" s="8" t="s">
        <v>56</v>
      </c>
      <c r="K5" s="8" t="s">
        <v>63</v>
      </c>
    </row>
    <row r="6" customFormat="false" ht="23.25" hidden="false" customHeight="true" outlineLevel="0" collapsed="false">
      <c r="A6" s="8" t="s">
        <v>69</v>
      </c>
      <c r="B6" s="8" t="s">
        <v>39</v>
      </c>
      <c r="C6" s="8" t="s">
        <v>40</v>
      </c>
      <c r="D6" s="8" t="s">
        <v>70</v>
      </c>
      <c r="E6" s="8" t="s">
        <v>71</v>
      </c>
      <c r="F6" s="8" t="s">
        <v>72</v>
      </c>
      <c r="G6" s="8" t="s">
        <v>73</v>
      </c>
      <c r="H6" s="8" t="s">
        <v>74</v>
      </c>
      <c r="I6" s="8" t="s">
        <v>55</v>
      </c>
      <c r="J6" s="8" t="s">
        <v>75</v>
      </c>
      <c r="K6" s="8" t="s">
        <v>63</v>
      </c>
    </row>
    <row r="7" customFormat="false" ht="34.5" hidden="false" customHeight="true" outlineLevel="0" collapsed="false">
      <c r="A7" s="8" t="s">
        <v>76</v>
      </c>
      <c r="B7" s="8" t="s">
        <v>39</v>
      </c>
      <c r="C7" s="8" t="s">
        <v>40</v>
      </c>
      <c r="D7" s="8" t="s">
        <v>77</v>
      </c>
      <c r="E7" s="8" t="s">
        <v>78</v>
      </c>
      <c r="F7" s="8" t="s">
        <v>52</v>
      </c>
      <c r="G7" s="8" t="s">
        <v>79</v>
      </c>
      <c r="H7" s="8" t="s">
        <v>80</v>
      </c>
      <c r="I7" s="8"/>
      <c r="J7" s="8" t="s">
        <v>81</v>
      </c>
      <c r="K7" s="8" t="s">
        <v>82</v>
      </c>
    </row>
    <row r="8" customFormat="false" ht="23.25" hidden="false" customHeight="true" outlineLevel="0" collapsed="false">
      <c r="A8" s="8" t="s">
        <v>83</v>
      </c>
      <c r="B8" s="8" t="s">
        <v>39</v>
      </c>
      <c r="C8" s="8" t="s">
        <v>84</v>
      </c>
      <c r="D8" s="8" t="s">
        <v>85</v>
      </c>
      <c r="E8" s="8" t="s">
        <v>86</v>
      </c>
      <c r="F8" s="8" t="s">
        <v>72</v>
      </c>
      <c r="G8" s="8" t="s">
        <v>87</v>
      </c>
      <c r="H8" s="8" t="s">
        <v>88</v>
      </c>
      <c r="I8" s="8" t="s">
        <v>89</v>
      </c>
      <c r="J8" s="8" t="s">
        <v>90</v>
      </c>
      <c r="K8" s="8" t="s">
        <v>91</v>
      </c>
    </row>
    <row r="9" customFormat="false" ht="23.25" hidden="false" customHeight="true" outlineLevel="0" collapsed="false">
      <c r="A9" s="8" t="s">
        <v>92</v>
      </c>
      <c r="B9" s="8" t="s">
        <v>39</v>
      </c>
      <c r="C9" s="8" t="s">
        <v>84</v>
      </c>
      <c r="D9" s="8" t="s">
        <v>93</v>
      </c>
      <c r="E9" s="8" t="s">
        <v>94</v>
      </c>
      <c r="F9" s="8" t="s">
        <v>72</v>
      </c>
      <c r="G9" s="8" t="s">
        <v>95</v>
      </c>
      <c r="H9" s="8" t="s">
        <v>96</v>
      </c>
      <c r="I9" s="8" t="s">
        <v>89</v>
      </c>
      <c r="J9" s="8" t="s">
        <v>90</v>
      </c>
      <c r="K9" s="8" t="s">
        <v>97</v>
      </c>
    </row>
    <row r="10" customFormat="false" ht="34.5" hidden="false" customHeight="true" outlineLevel="0" collapsed="false">
      <c r="A10" s="8" t="s">
        <v>98</v>
      </c>
      <c r="B10" s="8" t="s">
        <v>99</v>
      </c>
      <c r="C10" s="8" t="s">
        <v>100</v>
      </c>
      <c r="D10" s="8" t="s">
        <v>101</v>
      </c>
      <c r="E10" s="8" t="s">
        <v>102</v>
      </c>
      <c r="F10" s="8" t="s">
        <v>52</v>
      </c>
      <c r="G10" s="8" t="s">
        <v>103</v>
      </c>
      <c r="H10" s="8" t="s">
        <v>104</v>
      </c>
      <c r="I10" s="8"/>
      <c r="J10" s="8" t="s">
        <v>105</v>
      </c>
      <c r="K10" s="8" t="s">
        <v>106</v>
      </c>
    </row>
    <row r="11" customFormat="false" ht="23.25" hidden="false" customHeight="true" outlineLevel="0" collapsed="false">
      <c r="A11" s="8" t="s">
        <v>107</v>
      </c>
      <c r="B11" s="8" t="s">
        <v>39</v>
      </c>
      <c r="C11" s="8" t="s">
        <v>100</v>
      </c>
      <c r="D11" s="8" t="s">
        <v>108</v>
      </c>
      <c r="E11" s="8" t="s">
        <v>109</v>
      </c>
      <c r="F11" s="8" t="s">
        <v>72</v>
      </c>
      <c r="G11" s="8" t="s">
        <v>110</v>
      </c>
      <c r="H11" s="8" t="s">
        <v>111</v>
      </c>
      <c r="I11" s="8" t="s">
        <v>89</v>
      </c>
      <c r="J11" s="8" t="s">
        <v>105</v>
      </c>
      <c r="K11" s="8" t="s">
        <v>112</v>
      </c>
    </row>
    <row r="12" customFormat="false" ht="57" hidden="false" customHeight="true" outlineLevel="0" collapsed="false">
      <c r="A12" s="8" t="s">
        <v>113</v>
      </c>
      <c r="B12" s="8" t="s">
        <v>99</v>
      </c>
      <c r="C12" s="8" t="s">
        <v>114</v>
      </c>
      <c r="D12" s="8" t="s">
        <v>115</v>
      </c>
      <c r="E12" s="8" t="s">
        <v>116</v>
      </c>
      <c r="F12" s="8" t="s">
        <v>43</v>
      </c>
      <c r="G12" s="8" t="s">
        <v>117</v>
      </c>
      <c r="H12" s="8" t="s">
        <v>118</v>
      </c>
      <c r="I12" s="8" t="s">
        <v>119</v>
      </c>
      <c r="J12" s="8" t="s">
        <v>120</v>
      </c>
      <c r="K12" s="8" t="s">
        <v>121</v>
      </c>
    </row>
    <row r="13" customFormat="false" ht="45.75" hidden="false" customHeight="true" outlineLevel="0" collapsed="false">
      <c r="A13" s="8" t="s">
        <v>122</v>
      </c>
      <c r="B13" s="8" t="s">
        <v>123</v>
      </c>
      <c r="C13" s="8" t="s">
        <v>124</v>
      </c>
      <c r="D13" s="8" t="s">
        <v>125</v>
      </c>
      <c r="E13" s="8" t="s">
        <v>126</v>
      </c>
      <c r="F13" s="8" t="s">
        <v>52</v>
      </c>
      <c r="G13" s="8" t="s">
        <v>127</v>
      </c>
      <c r="H13" s="9" t="s">
        <v>128</v>
      </c>
      <c r="I13" s="8"/>
      <c r="J13" s="8" t="s">
        <v>81</v>
      </c>
      <c r="K13" s="8" t="s">
        <v>129</v>
      </c>
    </row>
    <row r="14" customFormat="false" ht="34.5" hidden="false" customHeight="true" outlineLevel="0" collapsed="false">
      <c r="A14" s="8" t="s">
        <v>130</v>
      </c>
      <c r="B14" s="8" t="s">
        <v>123</v>
      </c>
      <c r="C14" s="8" t="s">
        <v>131</v>
      </c>
      <c r="D14" s="8" t="s">
        <v>132</v>
      </c>
      <c r="E14" s="8" t="s">
        <v>133</v>
      </c>
      <c r="F14" s="8" t="s">
        <v>43</v>
      </c>
      <c r="G14" s="8" t="s">
        <v>134</v>
      </c>
      <c r="H14" s="8" t="s">
        <v>135</v>
      </c>
      <c r="I14" s="8"/>
      <c r="J14" s="8" t="s">
        <v>81</v>
      </c>
      <c r="K14" s="8" t="s">
        <v>136</v>
      </c>
    </row>
    <row r="15" customFormat="false" ht="45.75" hidden="false" customHeight="true" outlineLevel="0" collapsed="false">
      <c r="A15" s="8" t="s">
        <v>137</v>
      </c>
      <c r="B15" s="8" t="s">
        <v>123</v>
      </c>
      <c r="C15" s="8" t="s">
        <v>138</v>
      </c>
      <c r="D15" s="8" t="s">
        <v>139</v>
      </c>
      <c r="E15" s="8" t="s">
        <v>140</v>
      </c>
      <c r="F15" s="8" t="s">
        <v>43</v>
      </c>
      <c r="G15" s="8" t="s">
        <v>141</v>
      </c>
      <c r="H15" s="8" t="s">
        <v>142</v>
      </c>
      <c r="I15" s="8" t="s">
        <v>143</v>
      </c>
      <c r="J15" s="8" t="s">
        <v>81</v>
      </c>
      <c r="K15" s="8" t="s">
        <v>129</v>
      </c>
    </row>
    <row r="16" customFormat="false" ht="34.5" hidden="false" customHeight="true" outlineLevel="0" collapsed="false">
      <c r="A16" s="8" t="s">
        <v>144</v>
      </c>
      <c r="B16" s="8" t="s">
        <v>123</v>
      </c>
      <c r="C16" s="8" t="s">
        <v>145</v>
      </c>
      <c r="D16" s="8" t="s">
        <v>146</v>
      </c>
      <c r="E16" s="8" t="s">
        <v>147</v>
      </c>
      <c r="F16" s="8" t="s">
        <v>72</v>
      </c>
      <c r="G16" s="8" t="s">
        <v>148</v>
      </c>
      <c r="H16" s="8" t="s">
        <v>149</v>
      </c>
      <c r="I16" s="8" t="s">
        <v>150</v>
      </c>
      <c r="J16" s="8" t="s">
        <v>105</v>
      </c>
      <c r="K16" s="8" t="s">
        <v>151</v>
      </c>
    </row>
    <row r="17" customFormat="false" ht="23.25" hidden="false" customHeight="true" outlineLevel="0" collapsed="false">
      <c r="A17" s="8" t="s">
        <v>152</v>
      </c>
      <c r="B17" s="8" t="s">
        <v>39</v>
      </c>
      <c r="C17" s="8" t="s">
        <v>153</v>
      </c>
      <c r="D17" s="8" t="s">
        <v>154</v>
      </c>
      <c r="E17" s="8" t="s">
        <v>155</v>
      </c>
      <c r="F17" s="8" t="s">
        <v>52</v>
      </c>
      <c r="G17" s="8" t="s">
        <v>156</v>
      </c>
      <c r="H17" s="8" t="s">
        <v>157</v>
      </c>
      <c r="I17" s="8" t="s">
        <v>158</v>
      </c>
      <c r="J17" s="8" t="s">
        <v>159</v>
      </c>
      <c r="K17" s="8" t="s">
        <v>151</v>
      </c>
    </row>
    <row r="18" customFormat="false" ht="23.25" hidden="false" customHeight="true" outlineLevel="0" collapsed="false">
      <c r="A18" s="8" t="s">
        <v>160</v>
      </c>
      <c r="B18" s="8" t="s">
        <v>39</v>
      </c>
      <c r="C18" s="8" t="s">
        <v>161</v>
      </c>
      <c r="D18" s="8" t="s">
        <v>162</v>
      </c>
      <c r="E18" s="8" t="s">
        <v>163</v>
      </c>
      <c r="F18" s="8" t="s">
        <v>43</v>
      </c>
      <c r="G18" s="8" t="s">
        <v>164</v>
      </c>
      <c r="H18" s="8" t="s">
        <v>165</v>
      </c>
      <c r="I18" s="8" t="s">
        <v>46</v>
      </c>
      <c r="J18" s="8" t="s">
        <v>166</v>
      </c>
      <c r="K18" s="8" t="s">
        <v>151</v>
      </c>
    </row>
    <row r="19" customFormat="false" ht="23.25" hidden="false" customHeight="true" outlineLevel="0" collapsed="false">
      <c r="A19" s="8" t="s">
        <v>167</v>
      </c>
      <c r="B19" s="8" t="s">
        <v>39</v>
      </c>
      <c r="C19" s="8" t="s">
        <v>161</v>
      </c>
      <c r="D19" s="8" t="s">
        <v>168</v>
      </c>
      <c r="E19" s="8" t="s">
        <v>169</v>
      </c>
      <c r="F19" s="8" t="s">
        <v>72</v>
      </c>
      <c r="G19" s="8" t="s">
        <v>170</v>
      </c>
      <c r="H19" s="8" t="s">
        <v>171</v>
      </c>
      <c r="I19" s="8" t="s">
        <v>172</v>
      </c>
      <c r="J19" s="8" t="s">
        <v>90</v>
      </c>
      <c r="K19" s="8" t="s">
        <v>151</v>
      </c>
    </row>
  </sheetData>
  <autoFilter ref="A1:K19"/>
  <dataValidations count="2">
    <dataValidation allowBlank="true" errorStyle="stop" operator="between" showDropDown="false" showErrorMessage="false" showInputMessage="false" sqref="F2:F500" type="list">
      <formula1>"Kritikus,Magas,Közepes,Alacsony"</formula1>
      <formula2>0</formula2>
    </dataValidation>
    <dataValidation allowBlank="true" errorStyle="stop" operator="between" showDropDown="false" showErrorMessage="false" showInputMessage="false" sqref="J2:J500" type="list">
      <formula1>"Nyitott,Tervezett (kézi),Tervezett (opcionális),Javítva (új NYÁK),Kezelve,Lezárva,Elfogadott kockázat,Ellenőrizendő,Szoftveres megoldás tervezve"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70"/>
    <col collapsed="false" customWidth="true" hidden="false" outlineLevel="0" max="5" min="5" style="1" width="32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8" min="8" style="1" width="16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173</v>
      </c>
      <c r="D1" s="7" t="s">
        <v>174</v>
      </c>
      <c r="E1" s="7" t="s">
        <v>175</v>
      </c>
      <c r="F1" s="7" t="s">
        <v>176</v>
      </c>
      <c r="G1" s="7" t="s">
        <v>37</v>
      </c>
      <c r="H1" s="7" t="s">
        <v>36</v>
      </c>
    </row>
    <row r="2" customFormat="false" ht="23.25" hidden="false" customHeight="true" outlineLevel="0" collapsed="false">
      <c r="A2" s="8" t="s">
        <v>177</v>
      </c>
      <c r="B2" s="8" t="s">
        <v>178</v>
      </c>
      <c r="C2" s="8" t="s">
        <v>179</v>
      </c>
      <c r="D2" s="8" t="s">
        <v>180</v>
      </c>
      <c r="E2" s="8" t="s">
        <v>181</v>
      </c>
      <c r="F2" s="8" t="s">
        <v>151</v>
      </c>
      <c r="G2" s="8" t="s">
        <v>182</v>
      </c>
      <c r="H2" s="8" t="s">
        <v>90</v>
      </c>
    </row>
    <row r="3" customFormat="false" ht="23.25" hidden="false" customHeight="true" outlineLevel="0" collapsed="false">
      <c r="A3" s="8" t="s">
        <v>183</v>
      </c>
      <c r="B3" s="8" t="s">
        <v>184</v>
      </c>
      <c r="C3" s="8" t="s">
        <v>179</v>
      </c>
      <c r="D3" s="8" t="s">
        <v>185</v>
      </c>
      <c r="E3" s="8" t="s">
        <v>186</v>
      </c>
      <c r="F3" s="8" t="s">
        <v>38</v>
      </c>
      <c r="G3" s="8" t="s">
        <v>187</v>
      </c>
      <c r="H3" s="8" t="s">
        <v>90</v>
      </c>
    </row>
    <row r="4" customFormat="false" ht="23.25" hidden="false" customHeight="true" outlineLevel="0" collapsed="false">
      <c r="A4" s="8" t="s">
        <v>46</v>
      </c>
      <c r="B4" s="8" t="s">
        <v>39</v>
      </c>
      <c r="C4" s="8" t="s">
        <v>40</v>
      </c>
      <c r="D4" s="8" t="s">
        <v>188</v>
      </c>
      <c r="E4" s="8" t="s">
        <v>189</v>
      </c>
      <c r="F4" s="8" t="s">
        <v>190</v>
      </c>
      <c r="G4" s="8" t="s">
        <v>191</v>
      </c>
      <c r="H4" s="8" t="s">
        <v>192</v>
      </c>
    </row>
    <row r="5" customFormat="false" ht="34.5" hidden="false" customHeight="true" outlineLevel="0" collapsed="false">
      <c r="A5" s="8" t="s">
        <v>55</v>
      </c>
      <c r="B5" s="8" t="s">
        <v>39</v>
      </c>
      <c r="C5" s="8" t="s">
        <v>193</v>
      </c>
      <c r="D5" s="8" t="s">
        <v>194</v>
      </c>
      <c r="E5" s="8" t="s">
        <v>195</v>
      </c>
      <c r="F5" s="8" t="s">
        <v>196</v>
      </c>
      <c r="G5" s="8" t="s">
        <v>63</v>
      </c>
      <c r="H5" s="8" t="s">
        <v>197</v>
      </c>
    </row>
    <row r="6" customFormat="false" ht="15" hidden="false" customHeight="true" outlineLevel="0" collapsed="false">
      <c r="A6" s="8" t="s">
        <v>172</v>
      </c>
      <c r="B6" s="8" t="s">
        <v>39</v>
      </c>
      <c r="C6" s="8" t="s">
        <v>198</v>
      </c>
      <c r="D6" s="8" t="s">
        <v>199</v>
      </c>
      <c r="E6" s="8" t="s">
        <v>200</v>
      </c>
      <c r="F6" s="8" t="s">
        <v>167</v>
      </c>
      <c r="G6" s="8" t="s">
        <v>151</v>
      </c>
      <c r="H6" s="8" t="s">
        <v>192</v>
      </c>
    </row>
    <row r="7" customFormat="false" ht="34.5" hidden="false" customHeight="true" outlineLevel="0" collapsed="false">
      <c r="A7" s="8" t="s">
        <v>89</v>
      </c>
      <c r="B7" s="8" t="s">
        <v>39</v>
      </c>
      <c r="C7" s="8" t="s">
        <v>179</v>
      </c>
      <c r="D7" s="8" t="s">
        <v>201</v>
      </c>
      <c r="E7" s="8" t="s">
        <v>202</v>
      </c>
      <c r="F7" s="8" t="s">
        <v>203</v>
      </c>
      <c r="G7" s="8" t="s">
        <v>204</v>
      </c>
      <c r="H7" s="8" t="s">
        <v>192</v>
      </c>
    </row>
    <row r="8" customFormat="false" ht="23.25" hidden="false" customHeight="true" outlineLevel="0" collapsed="false">
      <c r="A8" s="8" t="s">
        <v>205</v>
      </c>
      <c r="B8" s="8" t="s">
        <v>39</v>
      </c>
      <c r="C8" s="8" t="s">
        <v>206</v>
      </c>
      <c r="D8" s="8" t="s">
        <v>207</v>
      </c>
      <c r="E8" s="8" t="s">
        <v>208</v>
      </c>
      <c r="F8" s="8" t="s">
        <v>83</v>
      </c>
      <c r="G8" s="8" t="s">
        <v>82</v>
      </c>
      <c r="H8" s="8" t="s">
        <v>192</v>
      </c>
    </row>
    <row r="9" customFormat="false" ht="23.25" hidden="false" customHeight="true" outlineLevel="0" collapsed="false">
      <c r="A9" s="8" t="s">
        <v>209</v>
      </c>
      <c r="B9" s="8" t="s">
        <v>39</v>
      </c>
      <c r="C9" s="8" t="s">
        <v>100</v>
      </c>
      <c r="D9" s="8" t="s">
        <v>210</v>
      </c>
      <c r="E9" s="8" t="s">
        <v>211</v>
      </c>
      <c r="F9" s="8" t="s">
        <v>151</v>
      </c>
      <c r="G9" s="8" t="s">
        <v>212</v>
      </c>
      <c r="H9" s="8" t="s">
        <v>192</v>
      </c>
    </row>
    <row r="10" customFormat="false" ht="23.25" hidden="false" customHeight="true" outlineLevel="0" collapsed="false">
      <c r="A10" s="8" t="s">
        <v>213</v>
      </c>
      <c r="B10" s="8" t="s">
        <v>39</v>
      </c>
      <c r="C10" s="8" t="s">
        <v>214</v>
      </c>
      <c r="D10" s="8" t="s">
        <v>215</v>
      </c>
      <c r="E10" s="8" t="s">
        <v>216</v>
      </c>
      <c r="F10" s="8" t="s">
        <v>151</v>
      </c>
      <c r="G10" s="8" t="s">
        <v>151</v>
      </c>
      <c r="H10" s="8" t="s">
        <v>217</v>
      </c>
    </row>
    <row r="11" customFormat="false" ht="23.25" hidden="false" customHeight="true" outlineLevel="0" collapsed="false">
      <c r="A11" s="8" t="s">
        <v>218</v>
      </c>
      <c r="B11" s="8" t="s">
        <v>99</v>
      </c>
      <c r="C11" s="8" t="s">
        <v>179</v>
      </c>
      <c r="D11" s="8" t="s">
        <v>219</v>
      </c>
      <c r="E11" s="8" t="s">
        <v>220</v>
      </c>
      <c r="F11" s="8" t="s">
        <v>221</v>
      </c>
      <c r="G11" s="8" t="s">
        <v>222</v>
      </c>
      <c r="H11" s="8" t="s">
        <v>192</v>
      </c>
    </row>
    <row r="12" customFormat="false" ht="34.5" hidden="false" customHeight="true" outlineLevel="0" collapsed="false">
      <c r="A12" s="8" t="s">
        <v>119</v>
      </c>
      <c r="B12" s="8" t="s">
        <v>123</v>
      </c>
      <c r="C12" s="8" t="s">
        <v>223</v>
      </c>
      <c r="D12" s="8" t="s">
        <v>224</v>
      </c>
      <c r="E12" s="8" t="s">
        <v>225</v>
      </c>
      <c r="F12" s="8" t="s">
        <v>113</v>
      </c>
      <c r="G12" s="8" t="s">
        <v>121</v>
      </c>
      <c r="H12" s="8" t="s">
        <v>217</v>
      </c>
    </row>
    <row r="13" customFormat="false" ht="34.5" hidden="false" customHeight="true" outlineLevel="0" collapsed="false">
      <c r="A13" s="8" t="s">
        <v>143</v>
      </c>
      <c r="B13" s="8" t="s">
        <v>123</v>
      </c>
      <c r="C13" s="8" t="s">
        <v>223</v>
      </c>
      <c r="D13" s="8" t="s">
        <v>226</v>
      </c>
      <c r="E13" s="8" t="s">
        <v>216</v>
      </c>
      <c r="F13" s="8" t="s">
        <v>227</v>
      </c>
      <c r="G13" s="8" t="s">
        <v>228</v>
      </c>
      <c r="H13" s="8" t="s">
        <v>217</v>
      </c>
    </row>
    <row r="14" customFormat="false" ht="34.5" hidden="false" customHeight="true" outlineLevel="0" collapsed="false">
      <c r="A14" s="8" t="s">
        <v>229</v>
      </c>
      <c r="B14" s="8" t="s">
        <v>123</v>
      </c>
      <c r="C14" s="8" t="s">
        <v>206</v>
      </c>
      <c r="D14" s="8" t="s">
        <v>230</v>
      </c>
      <c r="E14" s="8" t="s">
        <v>231</v>
      </c>
      <c r="F14" s="8" t="s">
        <v>83</v>
      </c>
      <c r="G14" s="8" t="s">
        <v>82</v>
      </c>
      <c r="H14" s="8" t="s">
        <v>90</v>
      </c>
    </row>
    <row r="15" customFormat="false" ht="23.25" hidden="false" customHeight="true" outlineLevel="0" collapsed="false">
      <c r="A15" s="8" t="s">
        <v>150</v>
      </c>
      <c r="B15" s="8" t="s">
        <v>123</v>
      </c>
      <c r="C15" s="8" t="s">
        <v>145</v>
      </c>
      <c r="D15" s="8" t="s">
        <v>232</v>
      </c>
      <c r="E15" s="8" t="s">
        <v>231</v>
      </c>
      <c r="F15" s="8" t="s">
        <v>144</v>
      </c>
      <c r="G15" s="8" t="s">
        <v>151</v>
      </c>
      <c r="H15" s="8" t="s">
        <v>217</v>
      </c>
    </row>
    <row r="16" customFormat="false" ht="34.5" hidden="false" customHeight="true" outlineLevel="0" collapsed="false">
      <c r="A16" s="8" t="s">
        <v>233</v>
      </c>
      <c r="B16" s="8" t="s">
        <v>123</v>
      </c>
      <c r="C16" s="8" t="s">
        <v>223</v>
      </c>
      <c r="D16" s="8" t="s">
        <v>234</v>
      </c>
      <c r="E16" s="8" t="s">
        <v>216</v>
      </c>
      <c r="F16" s="8" t="s">
        <v>151</v>
      </c>
      <c r="G16" s="8" t="s">
        <v>235</v>
      </c>
      <c r="H16" s="8" t="s">
        <v>217</v>
      </c>
    </row>
    <row r="17" customFormat="false" ht="34.5" hidden="false" customHeight="true" outlineLevel="0" collapsed="false">
      <c r="A17" s="8" t="s">
        <v>236</v>
      </c>
      <c r="B17" s="8" t="s">
        <v>237</v>
      </c>
      <c r="C17" s="8" t="s">
        <v>145</v>
      </c>
      <c r="D17" s="8" t="s">
        <v>238</v>
      </c>
      <c r="E17" s="8" t="s">
        <v>231</v>
      </c>
      <c r="F17" s="8" t="s">
        <v>144</v>
      </c>
      <c r="G17" s="8" t="s">
        <v>151</v>
      </c>
      <c r="H17" s="8" t="s">
        <v>217</v>
      </c>
    </row>
    <row r="18" customFormat="false" ht="15" hidden="false" customHeight="true" outlineLevel="0" collapsed="false">
      <c r="A18" s="8" t="s">
        <v>239</v>
      </c>
      <c r="B18" s="8" t="s">
        <v>99</v>
      </c>
      <c r="C18" s="8" t="s">
        <v>240</v>
      </c>
      <c r="D18" s="8" t="s">
        <v>241</v>
      </c>
      <c r="E18" s="8" t="s">
        <v>242</v>
      </c>
      <c r="F18" s="8" t="s">
        <v>151</v>
      </c>
      <c r="G18" s="8" t="s">
        <v>243</v>
      </c>
      <c r="H18" s="8" t="s">
        <v>192</v>
      </c>
    </row>
    <row r="19" customFormat="false" ht="15" hidden="false" customHeight="true" outlineLevel="0" collapsed="false">
      <c r="A19" s="8" t="s">
        <v>244</v>
      </c>
      <c r="B19" s="8" t="s">
        <v>237</v>
      </c>
      <c r="C19" s="8" t="s">
        <v>179</v>
      </c>
      <c r="D19" s="8" t="s">
        <v>245</v>
      </c>
      <c r="E19" s="8" t="s">
        <v>246</v>
      </c>
      <c r="F19" s="8" t="s">
        <v>151</v>
      </c>
      <c r="G19" s="8" t="s">
        <v>247</v>
      </c>
      <c r="H19" s="8" t="s">
        <v>192</v>
      </c>
    </row>
    <row r="20" customFormat="false" ht="15" hidden="false" customHeight="true" outlineLevel="0" collapsed="false">
      <c r="A20" s="8" t="s">
        <v>248</v>
      </c>
      <c r="B20" s="8" t="s">
        <v>237</v>
      </c>
      <c r="C20" s="8" t="s">
        <v>179</v>
      </c>
      <c r="D20" s="8" t="s">
        <v>249</v>
      </c>
      <c r="E20" s="8" t="s">
        <v>250</v>
      </c>
      <c r="F20" s="8" t="s">
        <v>151</v>
      </c>
      <c r="G20" s="8" t="s">
        <v>251</v>
      </c>
      <c r="H20" s="8" t="s">
        <v>192</v>
      </c>
    </row>
    <row r="21" customFormat="false" ht="15" hidden="false" customHeight="true" outlineLevel="0" collapsed="false">
      <c r="A21" s="8" t="s">
        <v>252</v>
      </c>
      <c r="B21" s="8" t="s">
        <v>237</v>
      </c>
      <c r="C21" s="8" t="s">
        <v>179</v>
      </c>
      <c r="D21" s="8" t="s">
        <v>253</v>
      </c>
      <c r="E21" s="8" t="s">
        <v>254</v>
      </c>
      <c r="F21" s="8" t="s">
        <v>151</v>
      </c>
      <c r="G21" s="8" t="s">
        <v>255</v>
      </c>
      <c r="H21" s="8" t="s">
        <v>192</v>
      </c>
    </row>
    <row r="22" customFormat="false" ht="34.5" hidden="false" customHeight="true" outlineLevel="0" collapsed="false">
      <c r="A22" s="8" t="s">
        <v>256</v>
      </c>
      <c r="B22" s="8" t="s">
        <v>237</v>
      </c>
      <c r="C22" s="8" t="s">
        <v>179</v>
      </c>
      <c r="D22" s="8" t="s">
        <v>257</v>
      </c>
      <c r="E22" s="8" t="s">
        <v>258</v>
      </c>
      <c r="F22" s="8" t="s">
        <v>259</v>
      </c>
      <c r="G22" s="8" t="s">
        <v>260</v>
      </c>
      <c r="H22" s="8" t="s">
        <v>192</v>
      </c>
    </row>
    <row r="23" customFormat="false" ht="23.25" hidden="false" customHeight="true" outlineLevel="0" collapsed="false">
      <c r="A23" s="8" t="s">
        <v>261</v>
      </c>
      <c r="B23" s="8" t="s">
        <v>237</v>
      </c>
      <c r="C23" s="8" t="s">
        <v>179</v>
      </c>
      <c r="D23" s="8" t="s">
        <v>262</v>
      </c>
      <c r="E23" s="8" t="s">
        <v>254</v>
      </c>
      <c r="F23" s="8" t="s">
        <v>151</v>
      </c>
      <c r="G23" s="8" t="s">
        <v>263</v>
      </c>
      <c r="H23" s="8" t="s">
        <v>192</v>
      </c>
    </row>
    <row r="24" customFormat="false" ht="34.5" hidden="false" customHeight="true" outlineLevel="0" collapsed="false">
      <c r="A24" s="8" t="s">
        <v>264</v>
      </c>
      <c r="B24" s="8" t="s">
        <v>237</v>
      </c>
      <c r="C24" s="8" t="s">
        <v>179</v>
      </c>
      <c r="D24" s="8" t="s">
        <v>265</v>
      </c>
      <c r="E24" s="8" t="s">
        <v>254</v>
      </c>
      <c r="F24" s="8" t="s">
        <v>151</v>
      </c>
      <c r="G24" s="8" t="s">
        <v>266</v>
      </c>
      <c r="H24" s="8" t="s">
        <v>192</v>
      </c>
    </row>
    <row r="25" customFormat="false" ht="23.25" hidden="false" customHeight="true" outlineLevel="0" collapsed="false">
      <c r="A25" s="8" t="s">
        <v>267</v>
      </c>
      <c r="B25" s="8" t="s">
        <v>268</v>
      </c>
      <c r="C25" s="8" t="s">
        <v>179</v>
      </c>
      <c r="D25" s="8" t="s">
        <v>269</v>
      </c>
      <c r="E25" s="8" t="s">
        <v>270</v>
      </c>
      <c r="F25" s="8" t="s">
        <v>151</v>
      </c>
      <c r="G25" s="8" t="s">
        <v>271</v>
      </c>
      <c r="H25" s="8" t="s">
        <v>192</v>
      </c>
    </row>
    <row r="26" customFormat="false" ht="34.5" hidden="false" customHeight="true" outlineLevel="0" collapsed="false">
      <c r="A26" s="8" t="s">
        <v>272</v>
      </c>
      <c r="B26" s="8" t="s">
        <v>273</v>
      </c>
      <c r="C26" s="8" t="s">
        <v>179</v>
      </c>
      <c r="D26" s="8" t="s">
        <v>274</v>
      </c>
      <c r="E26" s="8" t="s">
        <v>275</v>
      </c>
      <c r="F26" s="8" t="s">
        <v>151</v>
      </c>
      <c r="G26" s="8" t="s">
        <v>276</v>
      </c>
      <c r="H26" s="8" t="s">
        <v>192</v>
      </c>
    </row>
    <row r="27" customFormat="false" ht="34.5" hidden="false" customHeight="true" outlineLevel="0" collapsed="false">
      <c r="A27" s="8" t="s">
        <v>277</v>
      </c>
      <c r="B27" s="8" t="s">
        <v>273</v>
      </c>
      <c r="C27" s="8" t="s">
        <v>278</v>
      </c>
      <c r="D27" s="8" t="s">
        <v>279</v>
      </c>
      <c r="E27" s="8" t="s">
        <v>280</v>
      </c>
      <c r="F27" s="8" t="s">
        <v>281</v>
      </c>
      <c r="G27" s="8" t="s">
        <v>282</v>
      </c>
      <c r="H27" s="8" t="s">
        <v>192</v>
      </c>
    </row>
    <row r="28" customFormat="false" ht="23.25" hidden="false" customHeight="true" outlineLevel="0" collapsed="false">
      <c r="A28" s="8" t="s">
        <v>283</v>
      </c>
      <c r="B28" s="8" t="s">
        <v>273</v>
      </c>
      <c r="C28" s="8" t="s">
        <v>179</v>
      </c>
      <c r="D28" s="8" t="s">
        <v>284</v>
      </c>
      <c r="E28" s="8" t="s">
        <v>285</v>
      </c>
      <c r="F28" s="8" t="s">
        <v>151</v>
      </c>
      <c r="G28" s="8" t="s">
        <v>286</v>
      </c>
      <c r="H28" s="8" t="s">
        <v>192</v>
      </c>
    </row>
    <row r="29" customFormat="false" ht="45.75" hidden="false" customHeight="true" outlineLevel="0" collapsed="false">
      <c r="A29" s="8" t="s">
        <v>287</v>
      </c>
      <c r="B29" s="8" t="s">
        <v>273</v>
      </c>
      <c r="C29" s="8" t="s">
        <v>179</v>
      </c>
      <c r="D29" s="8" t="s">
        <v>288</v>
      </c>
      <c r="E29" s="8" t="s">
        <v>289</v>
      </c>
      <c r="F29" s="8" t="s">
        <v>151</v>
      </c>
      <c r="G29" s="8" t="s">
        <v>290</v>
      </c>
      <c r="H29" s="8" t="s">
        <v>192</v>
      </c>
    </row>
    <row r="30" customFormat="false" ht="34.5" hidden="false" customHeight="true" outlineLevel="0" collapsed="false">
      <c r="A30" s="8" t="s">
        <v>291</v>
      </c>
      <c r="B30" s="8" t="s">
        <v>273</v>
      </c>
      <c r="C30" s="8" t="s">
        <v>179</v>
      </c>
      <c r="D30" s="8" t="s">
        <v>292</v>
      </c>
      <c r="E30" s="8" t="s">
        <v>293</v>
      </c>
      <c r="F30" s="8" t="s">
        <v>151</v>
      </c>
      <c r="G30" s="8" t="s">
        <v>294</v>
      </c>
      <c r="H30" s="8" t="s">
        <v>192</v>
      </c>
    </row>
    <row r="31" customFormat="false" ht="45.75" hidden="false" customHeight="true" outlineLevel="0" collapsed="false">
      <c r="A31" s="8" t="s">
        <v>295</v>
      </c>
      <c r="B31" s="8" t="s">
        <v>273</v>
      </c>
      <c r="C31" s="8" t="s">
        <v>179</v>
      </c>
      <c r="D31" s="8" t="s">
        <v>296</v>
      </c>
      <c r="E31" s="8" t="s">
        <v>254</v>
      </c>
      <c r="F31" s="8" t="s">
        <v>151</v>
      </c>
      <c r="G31" s="8" t="s">
        <v>297</v>
      </c>
      <c r="H31" s="8" t="s">
        <v>192</v>
      </c>
    </row>
    <row r="32" customFormat="false" ht="34.5" hidden="false" customHeight="true" outlineLevel="0" collapsed="false">
      <c r="A32" s="8" t="s">
        <v>298</v>
      </c>
      <c r="B32" s="8" t="s">
        <v>299</v>
      </c>
      <c r="C32" s="8" t="s">
        <v>179</v>
      </c>
      <c r="D32" s="8" t="s">
        <v>300</v>
      </c>
      <c r="E32" s="8" t="s">
        <v>301</v>
      </c>
      <c r="F32" s="8" t="s">
        <v>302</v>
      </c>
      <c r="G32" s="8" t="s">
        <v>303</v>
      </c>
      <c r="H32" s="8" t="s">
        <v>192</v>
      </c>
    </row>
    <row r="33" customFormat="false" ht="45.75" hidden="false" customHeight="true" outlineLevel="0" collapsed="false">
      <c r="A33" s="8" t="s">
        <v>304</v>
      </c>
      <c r="B33" s="8" t="s">
        <v>299</v>
      </c>
      <c r="C33" s="8" t="s">
        <v>179</v>
      </c>
      <c r="D33" s="8" t="s">
        <v>305</v>
      </c>
      <c r="E33" s="8" t="s">
        <v>306</v>
      </c>
      <c r="F33" s="8" t="s">
        <v>307</v>
      </c>
      <c r="G33" s="8" t="s">
        <v>308</v>
      </c>
      <c r="H33" s="8" t="s">
        <v>192</v>
      </c>
    </row>
    <row r="34" customFormat="false" ht="46.25" hidden="false" customHeight="false" outlineLevel="0" collapsed="false">
      <c r="A34" s="8" t="s">
        <v>309</v>
      </c>
      <c r="B34" s="8" t="s">
        <v>299</v>
      </c>
      <c r="C34" s="8" t="s">
        <v>278</v>
      </c>
      <c r="D34" s="8" t="s">
        <v>310</v>
      </c>
      <c r="E34" s="8" t="s">
        <v>311</v>
      </c>
      <c r="F34" s="8" t="s">
        <v>312</v>
      </c>
      <c r="G34" s="8" t="s">
        <v>313</v>
      </c>
      <c r="H34" s="8"/>
    </row>
  </sheetData>
  <autoFilter ref="A1:H18"/>
  <dataValidations count="1">
    <dataValidation allowBlank="true" errorStyle="stop" operator="between" showDropDown="false" showErrorMessage="false" showInputMessage="false" sqref="H2:H500" type="list">
      <formula1>"Eldöntve,Tervezett,Végrehajtva,Lezárva"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5"/>
    <col collapsed="false" customWidth="true" hidden="false" outlineLevel="0" max="4" min="4" style="1" width="60"/>
    <col collapsed="false" customWidth="true" hidden="false" outlineLevel="0" max="5" min="5" style="1" width="45"/>
    <col collapsed="false" customWidth="true" hidden="false" outlineLevel="0" max="6" min="6" style="1" width="24"/>
  </cols>
  <sheetData>
    <row r="1" customFormat="false" ht="30" hidden="false" customHeight="true" outlineLevel="0" collapsed="false">
      <c r="A1" s="7" t="s">
        <v>27</v>
      </c>
      <c r="B1" s="7" t="s">
        <v>314</v>
      </c>
      <c r="C1" s="7" t="s">
        <v>315</v>
      </c>
      <c r="D1" s="7" t="s">
        <v>316</v>
      </c>
      <c r="E1" s="7" t="s">
        <v>317</v>
      </c>
      <c r="F1" s="7" t="s">
        <v>37</v>
      </c>
    </row>
    <row r="2" customFormat="false" ht="23.25" hidden="false" customHeight="true" outlineLevel="0" collapsed="false">
      <c r="A2" s="8" t="s">
        <v>318</v>
      </c>
      <c r="B2" s="8" t="s">
        <v>319</v>
      </c>
      <c r="C2" s="8" t="s">
        <v>320</v>
      </c>
      <c r="D2" s="8" t="s">
        <v>321</v>
      </c>
      <c r="E2" s="8" t="s">
        <v>322</v>
      </c>
      <c r="F2" s="8" t="s">
        <v>323</v>
      </c>
    </row>
    <row r="3" customFormat="false" ht="23.25" hidden="false" customHeight="true" outlineLevel="0" collapsed="false">
      <c r="A3" s="8" t="s">
        <v>324</v>
      </c>
      <c r="B3" s="8" t="s">
        <v>325</v>
      </c>
      <c r="C3" s="8" t="s">
        <v>326</v>
      </c>
      <c r="D3" s="8" t="s">
        <v>327</v>
      </c>
      <c r="E3" s="8" t="s">
        <v>328</v>
      </c>
      <c r="F3" s="8" t="s">
        <v>121</v>
      </c>
    </row>
    <row r="4" customFormat="false" ht="23.25" hidden="false" customHeight="true" outlineLevel="0" collapsed="false">
      <c r="A4" s="8" t="s">
        <v>329</v>
      </c>
      <c r="B4" s="8" t="s">
        <v>330</v>
      </c>
      <c r="C4" s="8" t="s">
        <v>331</v>
      </c>
      <c r="D4" s="8" t="s">
        <v>332</v>
      </c>
      <c r="E4" s="8" t="s">
        <v>333</v>
      </c>
      <c r="F4" s="8" t="s">
        <v>334</v>
      </c>
    </row>
    <row r="5" customFormat="false" ht="15" hidden="false" customHeight="true" outlineLevel="0" collapsed="false">
      <c r="A5" s="8" t="s">
        <v>335</v>
      </c>
      <c r="B5" s="8" t="s">
        <v>336</v>
      </c>
      <c r="C5" s="8" t="s">
        <v>337</v>
      </c>
      <c r="D5" s="8" t="s">
        <v>338</v>
      </c>
      <c r="E5" s="8" t="s">
        <v>339</v>
      </c>
      <c r="F5" s="8" t="s">
        <v>340</v>
      </c>
    </row>
    <row r="6" customFormat="false" ht="15" hidden="false" customHeight="true" outlineLevel="0" collapsed="false">
      <c r="A6" s="8" t="s">
        <v>341</v>
      </c>
      <c r="B6" s="8" t="s">
        <v>342</v>
      </c>
      <c r="C6" s="8" t="s">
        <v>343</v>
      </c>
      <c r="D6" s="8" t="s">
        <v>344</v>
      </c>
      <c r="E6" s="8" t="s">
        <v>345</v>
      </c>
      <c r="F6" s="8" t="s">
        <v>346</v>
      </c>
    </row>
    <row r="7" customFormat="false" ht="15" hidden="false" customHeight="true" outlineLevel="0" collapsed="false">
      <c r="A7" s="8" t="s">
        <v>347</v>
      </c>
      <c r="B7" s="8" t="s">
        <v>348</v>
      </c>
      <c r="C7" s="8" t="s">
        <v>349</v>
      </c>
      <c r="D7" s="8" t="s">
        <v>350</v>
      </c>
      <c r="E7" s="8" t="s">
        <v>351</v>
      </c>
      <c r="F7" s="8" t="s">
        <v>352</v>
      </c>
    </row>
    <row r="8" customFormat="false" ht="23.25" hidden="false" customHeight="true" outlineLevel="0" collapsed="false">
      <c r="A8" s="8" t="s">
        <v>353</v>
      </c>
      <c r="B8" s="8" t="s">
        <v>206</v>
      </c>
      <c r="C8" s="8" t="s">
        <v>354</v>
      </c>
      <c r="D8" s="8" t="s">
        <v>355</v>
      </c>
      <c r="E8" s="8" t="s">
        <v>356</v>
      </c>
      <c r="F8" s="8" t="s">
        <v>82</v>
      </c>
    </row>
    <row r="9" customFormat="false" ht="23.25" hidden="false" customHeight="true" outlineLevel="0" collapsed="false">
      <c r="A9" s="8" t="s">
        <v>357</v>
      </c>
      <c r="B9" s="8" t="s">
        <v>358</v>
      </c>
      <c r="C9" s="8" t="s">
        <v>359</v>
      </c>
      <c r="D9" s="8" t="s">
        <v>360</v>
      </c>
      <c r="E9" s="8" t="s">
        <v>361</v>
      </c>
      <c r="F9" s="8" t="s">
        <v>362</v>
      </c>
    </row>
    <row r="10" customFormat="false" ht="23.25" hidden="false" customHeight="true" outlineLevel="0" collapsed="false">
      <c r="A10" s="8" t="s">
        <v>363</v>
      </c>
      <c r="B10" s="8" t="s">
        <v>364</v>
      </c>
      <c r="C10" s="8" t="s">
        <v>365</v>
      </c>
      <c r="D10" s="8" t="s">
        <v>366</v>
      </c>
      <c r="E10" s="8" t="s">
        <v>367</v>
      </c>
      <c r="F10" s="8" t="s">
        <v>368</v>
      </c>
    </row>
    <row r="11" customFormat="false" ht="23.25" hidden="false" customHeight="true" outlineLevel="0" collapsed="false">
      <c r="A11" s="8" t="s">
        <v>369</v>
      </c>
      <c r="B11" s="8" t="s">
        <v>370</v>
      </c>
      <c r="C11" s="8" t="s">
        <v>371</v>
      </c>
      <c r="D11" s="8" t="s">
        <v>372</v>
      </c>
      <c r="E11" s="8" t="s">
        <v>373</v>
      </c>
      <c r="F11" s="8" t="s">
        <v>374</v>
      </c>
    </row>
    <row r="12" customFormat="false" ht="15" hidden="false" customHeight="true" outlineLevel="0" collapsed="false">
      <c r="A12" s="8" t="s">
        <v>375</v>
      </c>
      <c r="B12" s="8" t="s">
        <v>376</v>
      </c>
      <c r="C12" s="8" t="s">
        <v>377</v>
      </c>
      <c r="D12" s="8" t="s">
        <v>378</v>
      </c>
      <c r="E12" s="8" t="s">
        <v>379</v>
      </c>
      <c r="F12" s="8" t="s">
        <v>380</v>
      </c>
    </row>
    <row r="13" customFormat="false" ht="23.25" hidden="false" customHeight="true" outlineLevel="0" collapsed="false">
      <c r="A13" s="8" t="s">
        <v>381</v>
      </c>
      <c r="B13" s="8" t="s">
        <v>214</v>
      </c>
      <c r="C13" s="8" t="s">
        <v>382</v>
      </c>
      <c r="D13" s="8" t="s">
        <v>383</v>
      </c>
      <c r="E13" s="8" t="s">
        <v>384</v>
      </c>
      <c r="F13" s="8" t="s">
        <v>213</v>
      </c>
    </row>
    <row r="14" customFormat="false" ht="23.25" hidden="false" customHeight="true" outlineLevel="0" collapsed="false">
      <c r="A14" s="8" t="s">
        <v>385</v>
      </c>
      <c r="B14" s="8" t="s">
        <v>386</v>
      </c>
      <c r="C14" s="8" t="s">
        <v>387</v>
      </c>
      <c r="D14" s="8" t="s">
        <v>388</v>
      </c>
      <c r="E14" s="8" t="s">
        <v>389</v>
      </c>
      <c r="F14" s="8" t="s">
        <v>390</v>
      </c>
    </row>
    <row r="15" customFormat="false" ht="23.25" hidden="false" customHeight="true" outlineLevel="0" collapsed="false">
      <c r="A15" s="8" t="s">
        <v>391</v>
      </c>
      <c r="B15" s="8" t="s">
        <v>392</v>
      </c>
      <c r="C15" s="8" t="s">
        <v>393</v>
      </c>
      <c r="D15" s="8" t="s">
        <v>394</v>
      </c>
      <c r="E15" s="8" t="s">
        <v>395</v>
      </c>
      <c r="F15" s="8" t="s">
        <v>396</v>
      </c>
    </row>
    <row r="16" customFormat="false" ht="34.5" hidden="false" customHeight="true" outlineLevel="0" collapsed="false">
      <c r="A16" s="8" t="s">
        <v>397</v>
      </c>
      <c r="B16" s="8" t="s">
        <v>398</v>
      </c>
      <c r="C16" s="8" t="s">
        <v>399</v>
      </c>
      <c r="D16" s="8" t="s">
        <v>400</v>
      </c>
      <c r="E16" s="8" t="s">
        <v>401</v>
      </c>
      <c r="F16" s="8" t="s">
        <v>402</v>
      </c>
    </row>
    <row r="17" customFormat="false" ht="45.75" hidden="false" customHeight="true" outlineLevel="0" collapsed="false">
      <c r="A17" s="8" t="s">
        <v>403</v>
      </c>
      <c r="B17" s="8" t="s">
        <v>404</v>
      </c>
      <c r="C17" s="8" t="s">
        <v>405</v>
      </c>
      <c r="D17" s="8" t="s">
        <v>406</v>
      </c>
      <c r="E17" s="8" t="s">
        <v>407</v>
      </c>
      <c r="F17" s="8" t="s">
        <v>408</v>
      </c>
    </row>
    <row r="18" customFormat="false" ht="34.5" hidden="false" customHeight="true" outlineLevel="0" collapsed="false">
      <c r="A18" s="8" t="s">
        <v>409</v>
      </c>
      <c r="B18" s="8" t="s">
        <v>410</v>
      </c>
      <c r="C18" s="8" t="s">
        <v>411</v>
      </c>
      <c r="D18" s="8" t="s">
        <v>412</v>
      </c>
      <c r="E18" s="8" t="s">
        <v>413</v>
      </c>
      <c r="F18" s="8" t="s">
        <v>235</v>
      </c>
    </row>
    <row r="19" customFormat="false" ht="34.5" hidden="false" customHeight="true" outlineLevel="0" collapsed="false">
      <c r="A19" s="8" t="s">
        <v>414</v>
      </c>
      <c r="B19" s="8" t="s">
        <v>415</v>
      </c>
      <c r="C19" s="8" t="s">
        <v>416</v>
      </c>
      <c r="D19" s="8" t="s">
        <v>417</v>
      </c>
      <c r="E19" s="8" t="s">
        <v>418</v>
      </c>
      <c r="F19" s="8" t="s">
        <v>419</v>
      </c>
    </row>
    <row r="20" customFormat="false" ht="23.25" hidden="false" customHeight="true" outlineLevel="0" collapsed="false">
      <c r="A20" s="8" t="s">
        <v>420</v>
      </c>
      <c r="B20" s="8" t="s">
        <v>421</v>
      </c>
      <c r="C20" s="8" t="s">
        <v>422</v>
      </c>
      <c r="D20" s="8" t="s">
        <v>423</v>
      </c>
      <c r="E20" s="8" t="s">
        <v>424</v>
      </c>
      <c r="F20" s="8" t="s">
        <v>121</v>
      </c>
    </row>
    <row r="21" customFormat="false" ht="23.25" hidden="false" customHeight="true" outlineLevel="0" collapsed="false">
      <c r="A21" s="8" t="s">
        <v>425</v>
      </c>
      <c r="B21" s="8" t="s">
        <v>426</v>
      </c>
      <c r="C21" s="8" t="s">
        <v>427</v>
      </c>
      <c r="D21" s="8" t="s">
        <v>428</v>
      </c>
      <c r="E21" s="8" t="s">
        <v>429</v>
      </c>
      <c r="F21" s="8" t="s">
        <v>430</v>
      </c>
    </row>
    <row r="22" customFormat="false" ht="23.25" hidden="false" customHeight="true" outlineLevel="0" collapsed="false">
      <c r="A22" s="8" t="s">
        <v>431</v>
      </c>
      <c r="B22" s="8" t="s">
        <v>432</v>
      </c>
      <c r="C22" s="8" t="s">
        <v>433</v>
      </c>
      <c r="D22" s="8" t="s">
        <v>434</v>
      </c>
      <c r="E22" s="8" t="s">
        <v>435</v>
      </c>
      <c r="F22" s="8" t="s">
        <v>436</v>
      </c>
    </row>
    <row r="23" customFormat="false" ht="34.5" hidden="false" customHeight="true" outlineLevel="0" collapsed="false">
      <c r="A23" s="8" t="s">
        <v>437</v>
      </c>
      <c r="B23" s="8" t="s">
        <v>438</v>
      </c>
      <c r="C23" s="8" t="s">
        <v>439</v>
      </c>
      <c r="D23" s="8" t="s">
        <v>440</v>
      </c>
      <c r="E23" s="8" t="s">
        <v>441</v>
      </c>
      <c r="F23" s="8" t="s">
        <v>442</v>
      </c>
    </row>
    <row r="24" customFormat="false" ht="57" hidden="false" customHeight="true" outlineLevel="0" collapsed="false">
      <c r="A24" s="8" t="s">
        <v>443</v>
      </c>
      <c r="B24" s="8" t="s">
        <v>214</v>
      </c>
      <c r="C24" s="8" t="s">
        <v>444</v>
      </c>
      <c r="D24" s="8" t="s">
        <v>445</v>
      </c>
      <c r="E24" s="8" t="s">
        <v>446</v>
      </c>
      <c r="F24" s="8" t="s">
        <v>447</v>
      </c>
    </row>
  </sheetData>
  <autoFilter ref="A1:F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80"/>
    <col collapsed="false" customWidth="true" hidden="false" outlineLevel="0" max="4" min="4" style="1" width="45"/>
    <col collapsed="false" customWidth="true" hidden="false" outlineLevel="0" max="5" min="5" style="1" width="14"/>
  </cols>
  <sheetData>
    <row r="1" customFormat="false" ht="30" hidden="false" customHeight="true" outlineLevel="0" collapsed="false">
      <c r="A1" s="7" t="s">
        <v>27</v>
      </c>
      <c r="B1" s="7" t="s">
        <v>173</v>
      </c>
      <c r="C1" s="7" t="s">
        <v>448</v>
      </c>
      <c r="D1" s="7" t="s">
        <v>449</v>
      </c>
      <c r="E1" s="7" t="s">
        <v>36</v>
      </c>
    </row>
    <row r="2" customFormat="false" ht="15" hidden="false" customHeight="true" outlineLevel="0" collapsed="false">
      <c r="A2" s="8" t="s">
        <v>450</v>
      </c>
      <c r="B2" s="8" t="s">
        <v>451</v>
      </c>
      <c r="C2" s="8" t="s">
        <v>452</v>
      </c>
      <c r="D2" s="8" t="s">
        <v>453</v>
      </c>
      <c r="E2" s="8" t="s">
        <v>81</v>
      </c>
    </row>
    <row r="3" customFormat="false" ht="15" hidden="false" customHeight="true" outlineLevel="0" collapsed="false">
      <c r="A3" s="8" t="s">
        <v>454</v>
      </c>
      <c r="B3" s="8" t="s">
        <v>451</v>
      </c>
      <c r="C3" s="8" t="s">
        <v>455</v>
      </c>
      <c r="D3" s="8" t="s">
        <v>456</v>
      </c>
      <c r="E3" s="8" t="s">
        <v>81</v>
      </c>
    </row>
    <row r="4" customFormat="false" ht="15" hidden="false" customHeight="true" outlineLevel="0" collapsed="false">
      <c r="A4" s="8" t="s">
        <v>457</v>
      </c>
      <c r="B4" s="8" t="s">
        <v>451</v>
      </c>
      <c r="C4" s="8" t="s">
        <v>458</v>
      </c>
      <c r="D4" s="8" t="s">
        <v>459</v>
      </c>
      <c r="E4" s="8" t="s">
        <v>81</v>
      </c>
    </row>
    <row r="5" customFormat="false" ht="15" hidden="false" customHeight="true" outlineLevel="0" collapsed="false">
      <c r="A5" s="8" t="s">
        <v>460</v>
      </c>
      <c r="B5" s="8" t="s">
        <v>451</v>
      </c>
      <c r="C5" s="8" t="s">
        <v>461</v>
      </c>
      <c r="D5" s="8" t="s">
        <v>462</v>
      </c>
      <c r="E5" s="8" t="s">
        <v>81</v>
      </c>
    </row>
    <row r="6" customFormat="false" ht="15" hidden="false" customHeight="true" outlineLevel="0" collapsed="false">
      <c r="A6" s="8" t="s">
        <v>463</v>
      </c>
      <c r="B6" s="8" t="s">
        <v>451</v>
      </c>
      <c r="C6" s="8" t="s">
        <v>464</v>
      </c>
      <c r="D6" s="8" t="s">
        <v>465</v>
      </c>
      <c r="E6" s="8" t="s">
        <v>81</v>
      </c>
    </row>
    <row r="7" customFormat="false" ht="15" hidden="false" customHeight="true" outlineLevel="0" collapsed="false">
      <c r="A7" s="8" t="s">
        <v>466</v>
      </c>
      <c r="B7" s="8" t="s">
        <v>467</v>
      </c>
      <c r="C7" s="8" t="s">
        <v>468</v>
      </c>
      <c r="D7" s="8" t="s">
        <v>469</v>
      </c>
      <c r="E7" s="8" t="s">
        <v>81</v>
      </c>
    </row>
    <row r="8" customFormat="false" ht="15" hidden="false" customHeight="true" outlineLevel="0" collapsed="false">
      <c r="A8" s="8" t="s">
        <v>470</v>
      </c>
      <c r="B8" s="8" t="s">
        <v>467</v>
      </c>
      <c r="C8" s="8" t="s">
        <v>471</v>
      </c>
      <c r="D8" s="8" t="s">
        <v>472</v>
      </c>
      <c r="E8" s="8" t="s">
        <v>81</v>
      </c>
    </row>
    <row r="9" customFormat="false" ht="15" hidden="false" customHeight="true" outlineLevel="0" collapsed="false">
      <c r="A9" s="8" t="s">
        <v>473</v>
      </c>
      <c r="B9" s="8" t="s">
        <v>278</v>
      </c>
      <c r="C9" s="8" t="s">
        <v>474</v>
      </c>
      <c r="D9" s="8" t="s">
        <v>475</v>
      </c>
      <c r="E9" s="8" t="s">
        <v>476</v>
      </c>
    </row>
    <row r="10" customFormat="false" ht="23.25" hidden="false" customHeight="true" outlineLevel="0" collapsed="false">
      <c r="A10" s="8" t="s">
        <v>477</v>
      </c>
      <c r="B10" s="8" t="s">
        <v>278</v>
      </c>
      <c r="C10" s="8" t="s">
        <v>478</v>
      </c>
      <c r="D10" s="8" t="s">
        <v>475</v>
      </c>
      <c r="E10" s="8" t="s">
        <v>476</v>
      </c>
    </row>
    <row r="11" customFormat="false" ht="23.25" hidden="false" customHeight="true" outlineLevel="0" collapsed="false">
      <c r="A11" s="8" t="s">
        <v>479</v>
      </c>
      <c r="B11" s="8" t="s">
        <v>467</v>
      </c>
      <c r="C11" s="8" t="s">
        <v>480</v>
      </c>
      <c r="D11" s="8" t="s">
        <v>481</v>
      </c>
      <c r="E11" s="8" t="s">
        <v>81</v>
      </c>
    </row>
    <row r="12" customFormat="false" ht="15" hidden="false" customHeight="true" outlineLevel="0" collapsed="false">
      <c r="A12" s="8" t="s">
        <v>482</v>
      </c>
      <c r="B12" s="8" t="s">
        <v>451</v>
      </c>
      <c r="C12" s="8" t="s">
        <v>483</v>
      </c>
      <c r="D12" s="8" t="s">
        <v>484</v>
      </c>
      <c r="E12" s="8" t="s">
        <v>81</v>
      </c>
    </row>
    <row r="13" customFormat="false" ht="23.25" hidden="false" customHeight="true" outlineLevel="0" collapsed="false">
      <c r="A13" s="8" t="s">
        <v>485</v>
      </c>
      <c r="B13" s="8" t="s">
        <v>451</v>
      </c>
      <c r="C13" s="8" t="s">
        <v>486</v>
      </c>
      <c r="D13" s="8" t="s">
        <v>487</v>
      </c>
      <c r="E13" s="8" t="s">
        <v>81</v>
      </c>
    </row>
    <row r="14" customFormat="false" ht="34.5" hidden="false" customHeight="true" outlineLevel="0" collapsed="false">
      <c r="A14" s="8" t="s">
        <v>488</v>
      </c>
      <c r="B14" s="8" t="s">
        <v>489</v>
      </c>
      <c r="C14" s="8" t="s">
        <v>490</v>
      </c>
      <c r="D14" s="8" t="s">
        <v>491</v>
      </c>
      <c r="E14" s="8" t="s">
        <v>81</v>
      </c>
    </row>
    <row r="15" customFormat="false" ht="23.25" hidden="false" customHeight="true" outlineLevel="0" collapsed="false">
      <c r="A15" s="8" t="s">
        <v>492</v>
      </c>
      <c r="B15" s="8" t="s">
        <v>489</v>
      </c>
      <c r="C15" s="8" t="s">
        <v>493</v>
      </c>
      <c r="D15" s="8" t="s">
        <v>491</v>
      </c>
      <c r="E15" s="8" t="s">
        <v>476</v>
      </c>
    </row>
    <row r="16" customFormat="false" ht="23.25" hidden="false" customHeight="true" outlineLevel="0" collapsed="false">
      <c r="A16" s="8" t="s">
        <v>494</v>
      </c>
      <c r="B16" s="8" t="s">
        <v>278</v>
      </c>
      <c r="C16" s="8" t="s">
        <v>495</v>
      </c>
      <c r="D16" s="8" t="s">
        <v>496</v>
      </c>
      <c r="E16" s="8" t="s">
        <v>81</v>
      </c>
    </row>
    <row r="17" customFormat="false" ht="23.25" hidden="false" customHeight="true" outlineLevel="0" collapsed="false">
      <c r="A17" s="8" t="s">
        <v>497</v>
      </c>
      <c r="B17" s="8" t="s">
        <v>498</v>
      </c>
      <c r="C17" s="8" t="s">
        <v>499</v>
      </c>
      <c r="D17" s="8" t="s">
        <v>500</v>
      </c>
      <c r="E17" s="8" t="s">
        <v>81</v>
      </c>
    </row>
    <row r="18" customFormat="false" ht="15" hidden="false" customHeight="true" outlineLevel="0" collapsed="false">
      <c r="A18" s="8" t="s">
        <v>501</v>
      </c>
      <c r="B18" s="8" t="s">
        <v>502</v>
      </c>
      <c r="C18" s="8" t="s">
        <v>503</v>
      </c>
      <c r="D18" s="8" t="s">
        <v>500</v>
      </c>
      <c r="E18" s="8" t="s">
        <v>158</v>
      </c>
    </row>
    <row r="19" customFormat="false" ht="15" hidden="false" customHeight="true" outlineLevel="0" collapsed="false">
      <c r="A19" s="8" t="s">
        <v>504</v>
      </c>
      <c r="B19" s="8" t="s">
        <v>179</v>
      </c>
      <c r="C19" s="8" t="s">
        <v>505</v>
      </c>
      <c r="D19" s="8" t="s">
        <v>506</v>
      </c>
      <c r="E19" s="8" t="s">
        <v>158</v>
      </c>
    </row>
    <row r="20" customFormat="false" ht="15" hidden="false" customHeight="true" outlineLevel="0" collapsed="false">
      <c r="A20" s="8" t="s">
        <v>507</v>
      </c>
      <c r="B20" s="8" t="s">
        <v>179</v>
      </c>
      <c r="C20" s="8" t="s">
        <v>508</v>
      </c>
      <c r="D20" s="8" t="s">
        <v>509</v>
      </c>
      <c r="E20" s="8" t="s">
        <v>158</v>
      </c>
    </row>
    <row r="21" customFormat="false" ht="15" hidden="false" customHeight="true" outlineLevel="0" collapsed="false">
      <c r="A21" s="8" t="s">
        <v>510</v>
      </c>
      <c r="B21" s="8" t="s">
        <v>179</v>
      </c>
      <c r="C21" s="8" t="s">
        <v>511</v>
      </c>
      <c r="D21" s="8" t="s">
        <v>512</v>
      </c>
      <c r="E21" s="8" t="s">
        <v>158</v>
      </c>
    </row>
    <row r="22" customFormat="false" ht="23.25" hidden="false" customHeight="true" outlineLevel="0" collapsed="false">
      <c r="A22" s="8" t="s">
        <v>513</v>
      </c>
      <c r="B22" s="8" t="s">
        <v>514</v>
      </c>
      <c r="C22" s="8" t="s">
        <v>515</v>
      </c>
      <c r="D22" s="8" t="s">
        <v>516</v>
      </c>
      <c r="E22" s="8" t="s">
        <v>158</v>
      </c>
    </row>
    <row r="23" customFormat="false" ht="23.25" hidden="false" customHeight="true" outlineLevel="0" collapsed="false">
      <c r="A23" s="8" t="s">
        <v>517</v>
      </c>
      <c r="B23" s="8" t="s">
        <v>518</v>
      </c>
      <c r="C23" s="8" t="s">
        <v>519</v>
      </c>
      <c r="D23" s="8" t="s">
        <v>520</v>
      </c>
      <c r="E23" s="8" t="s">
        <v>158</v>
      </c>
    </row>
    <row r="24" customFormat="false" ht="34.5" hidden="false" customHeight="true" outlineLevel="0" collapsed="false">
      <c r="A24" s="8" t="s">
        <v>521</v>
      </c>
      <c r="B24" s="8" t="s">
        <v>489</v>
      </c>
      <c r="C24" s="8" t="s">
        <v>522</v>
      </c>
      <c r="D24" s="8" t="s">
        <v>523</v>
      </c>
      <c r="E24" s="8" t="s">
        <v>158</v>
      </c>
    </row>
    <row r="25" customFormat="false" ht="34.5" hidden="false" customHeight="true" outlineLevel="0" collapsed="false">
      <c r="A25" s="8" t="s">
        <v>524</v>
      </c>
      <c r="B25" s="8" t="s">
        <v>525</v>
      </c>
      <c r="C25" s="8" t="s">
        <v>526</v>
      </c>
      <c r="D25" s="8" t="s">
        <v>527</v>
      </c>
      <c r="E25" s="8" t="s">
        <v>158</v>
      </c>
    </row>
    <row r="26" customFormat="false" ht="34.5" hidden="false" customHeight="true" outlineLevel="0" collapsed="false">
      <c r="A26" s="8" t="s">
        <v>528</v>
      </c>
      <c r="B26" s="8" t="s">
        <v>179</v>
      </c>
      <c r="C26" s="8" t="s">
        <v>529</v>
      </c>
      <c r="D26" s="8" t="s">
        <v>530</v>
      </c>
      <c r="E26" s="8" t="s">
        <v>158</v>
      </c>
    </row>
    <row r="27" customFormat="false" ht="34.5" hidden="false" customHeight="true" outlineLevel="0" collapsed="false">
      <c r="A27" s="8" t="s">
        <v>531</v>
      </c>
      <c r="B27" s="8" t="s">
        <v>179</v>
      </c>
      <c r="C27" s="8" t="s">
        <v>532</v>
      </c>
      <c r="D27" s="8" t="s">
        <v>533</v>
      </c>
      <c r="E27" s="8" t="s">
        <v>81</v>
      </c>
    </row>
    <row r="28" customFormat="false" ht="23.25" hidden="false" customHeight="true" outlineLevel="0" collapsed="false">
      <c r="A28" s="8" t="s">
        <v>534</v>
      </c>
      <c r="B28" s="8" t="s">
        <v>179</v>
      </c>
      <c r="C28" s="8" t="s">
        <v>535</v>
      </c>
      <c r="D28" s="8" t="s">
        <v>536</v>
      </c>
      <c r="E28" s="8" t="s">
        <v>81</v>
      </c>
    </row>
    <row r="29" customFormat="false" ht="45.75" hidden="false" customHeight="true" outlineLevel="0" collapsed="false">
      <c r="A29" s="8" t="s">
        <v>537</v>
      </c>
      <c r="B29" s="8" t="s">
        <v>179</v>
      </c>
      <c r="C29" s="8" t="s">
        <v>538</v>
      </c>
      <c r="D29" s="8" t="s">
        <v>539</v>
      </c>
      <c r="E29" s="8" t="s">
        <v>81</v>
      </c>
    </row>
    <row r="30" customFormat="false" ht="15" hidden="false" customHeight="true" outlineLevel="0" collapsed="false">
      <c r="A30" s="8" t="s">
        <v>540</v>
      </c>
      <c r="B30" s="8" t="s">
        <v>179</v>
      </c>
      <c r="C30" s="8" t="s">
        <v>541</v>
      </c>
      <c r="D30" s="8" t="s">
        <v>542</v>
      </c>
      <c r="E30" s="8" t="s">
        <v>81</v>
      </c>
    </row>
    <row r="31" customFormat="false" ht="15" hidden="false" customHeight="true" outlineLevel="0" collapsed="false">
      <c r="A31" s="8" t="s">
        <v>543</v>
      </c>
      <c r="B31" s="8" t="s">
        <v>179</v>
      </c>
      <c r="C31" s="8" t="s">
        <v>544</v>
      </c>
      <c r="D31" s="8" t="s">
        <v>545</v>
      </c>
      <c r="E31" s="8" t="s">
        <v>81</v>
      </c>
    </row>
    <row r="32" customFormat="false" ht="23.25" hidden="false" customHeight="true" outlineLevel="0" collapsed="false">
      <c r="A32" s="8" t="s">
        <v>546</v>
      </c>
      <c r="B32" s="8" t="s">
        <v>278</v>
      </c>
      <c r="C32" s="8" t="s">
        <v>547</v>
      </c>
      <c r="D32" s="8" t="s">
        <v>548</v>
      </c>
      <c r="E32" s="8" t="s">
        <v>81</v>
      </c>
    </row>
    <row r="33" customFormat="false" ht="15" hidden="false" customHeight="true" outlineLevel="0" collapsed="false">
      <c r="A33" s="8" t="s">
        <v>549</v>
      </c>
      <c r="B33" s="8" t="s">
        <v>278</v>
      </c>
      <c r="C33" s="8" t="s">
        <v>550</v>
      </c>
      <c r="D33" s="8" t="s">
        <v>545</v>
      </c>
      <c r="E33" s="8" t="s">
        <v>81</v>
      </c>
    </row>
    <row r="34" customFormat="false" ht="23.25" hidden="false" customHeight="true" outlineLevel="0" collapsed="false">
      <c r="A34" s="8" t="s">
        <v>551</v>
      </c>
      <c r="B34" s="8" t="s">
        <v>179</v>
      </c>
      <c r="C34" s="8" t="s">
        <v>552</v>
      </c>
      <c r="D34" s="8" t="s">
        <v>553</v>
      </c>
      <c r="E34" s="8" t="s">
        <v>81</v>
      </c>
    </row>
  </sheetData>
  <autoFilter ref="A1:E18"/>
  <dataValidations count="1">
    <dataValidation allowBlank="true" errorStyle="stop" operator="between" showDropDown="false" showErrorMessage="false" showInputMessage="false" sqref="E2:E500" type="list">
      <formula1>"Nyitott,Megválaszolt,Elvetve"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60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55"/>
    <col collapsed="false" customWidth="true" hidden="false" outlineLevel="0" max="7" min="7" style="1" width="14"/>
  </cols>
  <sheetData>
    <row r="1" customFormat="false" ht="30" hidden="false" customHeight="true" outlineLevel="0" collapsed="false">
      <c r="A1" s="7" t="s">
        <v>27</v>
      </c>
      <c r="B1" s="7" t="s">
        <v>554</v>
      </c>
      <c r="C1" s="7" t="s">
        <v>555</v>
      </c>
      <c r="D1" s="7" t="s">
        <v>556</v>
      </c>
      <c r="E1" s="7" t="s">
        <v>557</v>
      </c>
      <c r="F1" s="7" t="s">
        <v>558</v>
      </c>
      <c r="G1" s="7" t="s">
        <v>559</v>
      </c>
    </row>
    <row r="2" customFormat="false" ht="15" hidden="false" customHeight="true" outlineLevel="0" collapsed="false">
      <c r="A2" s="8" t="s">
        <v>560</v>
      </c>
      <c r="B2" s="8" t="s">
        <v>561</v>
      </c>
      <c r="C2" s="8" t="s">
        <v>562</v>
      </c>
      <c r="D2" s="8" t="s">
        <v>563</v>
      </c>
      <c r="E2" s="8" t="s">
        <v>564</v>
      </c>
      <c r="F2" s="8" t="s">
        <v>565</v>
      </c>
      <c r="G2" s="8" t="s">
        <v>151</v>
      </c>
    </row>
    <row r="3" customFormat="false" ht="23.25" hidden="false" customHeight="true" outlineLevel="0" collapsed="false">
      <c r="A3" s="8" t="s">
        <v>566</v>
      </c>
      <c r="B3" s="8" t="s">
        <v>467</v>
      </c>
      <c r="C3" s="8" t="s">
        <v>567</v>
      </c>
      <c r="D3" s="8" t="s">
        <v>563</v>
      </c>
      <c r="E3" s="8" t="s">
        <v>52</v>
      </c>
      <c r="F3" s="8" t="s">
        <v>568</v>
      </c>
      <c r="G3" s="8" t="s">
        <v>569</v>
      </c>
    </row>
    <row r="4" customFormat="false" ht="15" hidden="false" customHeight="true" outlineLevel="0" collapsed="false">
      <c r="A4" s="8" t="s">
        <v>570</v>
      </c>
      <c r="B4" s="8" t="s">
        <v>467</v>
      </c>
      <c r="C4" s="8" t="s">
        <v>571</v>
      </c>
      <c r="D4" s="8" t="s">
        <v>563</v>
      </c>
      <c r="E4" s="8" t="s">
        <v>52</v>
      </c>
      <c r="F4" s="8" t="s">
        <v>572</v>
      </c>
      <c r="G4" s="8" t="s">
        <v>573</v>
      </c>
    </row>
    <row r="5" customFormat="false" ht="15" hidden="false" customHeight="true" outlineLevel="0" collapsed="false">
      <c r="A5" s="8" t="s">
        <v>574</v>
      </c>
      <c r="B5" s="8" t="s">
        <v>467</v>
      </c>
      <c r="C5" s="8" t="s">
        <v>575</v>
      </c>
      <c r="D5" s="8" t="s">
        <v>563</v>
      </c>
      <c r="E5" s="8" t="s">
        <v>564</v>
      </c>
      <c r="F5" s="8" t="s">
        <v>576</v>
      </c>
      <c r="G5" s="8" t="s">
        <v>577</v>
      </c>
    </row>
    <row r="6" customFormat="false" ht="15" hidden="false" customHeight="true" outlineLevel="0" collapsed="false">
      <c r="A6" s="8" t="s">
        <v>578</v>
      </c>
      <c r="B6" s="8" t="s">
        <v>451</v>
      </c>
      <c r="C6" s="8" t="s">
        <v>579</v>
      </c>
      <c r="D6" s="8" t="s">
        <v>563</v>
      </c>
      <c r="E6" s="8" t="s">
        <v>52</v>
      </c>
      <c r="F6" s="8" t="s">
        <v>580</v>
      </c>
      <c r="G6" s="8" t="s">
        <v>581</v>
      </c>
    </row>
    <row r="7" customFormat="false" ht="15" hidden="false" customHeight="true" outlineLevel="0" collapsed="false">
      <c r="A7" s="8" t="s">
        <v>582</v>
      </c>
      <c r="B7" s="8" t="s">
        <v>451</v>
      </c>
      <c r="C7" s="8" t="s">
        <v>583</v>
      </c>
      <c r="D7" s="8" t="s">
        <v>563</v>
      </c>
      <c r="E7" s="8" t="s">
        <v>52</v>
      </c>
      <c r="F7" s="8" t="s">
        <v>584</v>
      </c>
      <c r="G7" s="8" t="s">
        <v>585</v>
      </c>
    </row>
    <row r="8" customFormat="false" ht="15" hidden="false" customHeight="true" outlineLevel="0" collapsed="false">
      <c r="A8" s="8" t="s">
        <v>586</v>
      </c>
      <c r="B8" s="8" t="s">
        <v>451</v>
      </c>
      <c r="C8" s="8" t="s">
        <v>587</v>
      </c>
      <c r="D8" s="8" t="s">
        <v>563</v>
      </c>
      <c r="E8" s="8" t="s">
        <v>588</v>
      </c>
      <c r="F8" s="8" t="s">
        <v>589</v>
      </c>
      <c r="G8" s="8" t="s">
        <v>590</v>
      </c>
    </row>
    <row r="9" customFormat="false" ht="15" hidden="false" customHeight="true" outlineLevel="0" collapsed="false">
      <c r="A9" s="8" t="s">
        <v>591</v>
      </c>
      <c r="B9" s="8" t="s">
        <v>451</v>
      </c>
      <c r="C9" s="8" t="s">
        <v>592</v>
      </c>
      <c r="D9" s="8" t="s">
        <v>563</v>
      </c>
      <c r="E9" s="8" t="s">
        <v>52</v>
      </c>
      <c r="F9" s="8" t="s">
        <v>593</v>
      </c>
      <c r="G9" s="8" t="s">
        <v>594</v>
      </c>
    </row>
    <row r="10" customFormat="false" ht="15" hidden="false" customHeight="true" outlineLevel="0" collapsed="false">
      <c r="A10" s="8" t="s">
        <v>595</v>
      </c>
      <c r="B10" s="8" t="s">
        <v>451</v>
      </c>
      <c r="C10" s="8" t="s">
        <v>596</v>
      </c>
      <c r="D10" s="8" t="s">
        <v>597</v>
      </c>
      <c r="E10" s="8" t="s">
        <v>588</v>
      </c>
      <c r="F10" s="8" t="s">
        <v>598</v>
      </c>
      <c r="G10" s="8" t="s">
        <v>599</v>
      </c>
    </row>
    <row r="11" customFormat="false" ht="15" hidden="false" customHeight="true" outlineLevel="0" collapsed="false">
      <c r="A11" s="8" t="s">
        <v>600</v>
      </c>
      <c r="B11" s="8" t="s">
        <v>451</v>
      </c>
      <c r="C11" s="8" t="s">
        <v>601</v>
      </c>
      <c r="D11" s="8" t="s">
        <v>597</v>
      </c>
      <c r="E11" s="8" t="s">
        <v>564</v>
      </c>
      <c r="F11" s="8"/>
      <c r="G11" s="8" t="s">
        <v>594</v>
      </c>
    </row>
    <row r="12" customFormat="false" ht="15" hidden="false" customHeight="true" outlineLevel="0" collapsed="false">
      <c r="A12" s="8" t="s">
        <v>602</v>
      </c>
      <c r="B12" s="8" t="s">
        <v>451</v>
      </c>
      <c r="C12" s="8" t="s">
        <v>603</v>
      </c>
      <c r="D12" s="8" t="s">
        <v>597</v>
      </c>
      <c r="E12" s="8" t="s">
        <v>564</v>
      </c>
      <c r="F12" s="8" t="s">
        <v>604</v>
      </c>
      <c r="G12" s="8" t="s">
        <v>605</v>
      </c>
    </row>
    <row r="13" customFormat="false" ht="15" hidden="false" customHeight="true" outlineLevel="0" collapsed="false">
      <c r="A13" s="8" t="s">
        <v>606</v>
      </c>
      <c r="B13" s="8" t="s">
        <v>467</v>
      </c>
      <c r="C13" s="8" t="s">
        <v>607</v>
      </c>
      <c r="D13" s="8" t="s">
        <v>597</v>
      </c>
      <c r="E13" s="8" t="s">
        <v>608</v>
      </c>
      <c r="F13" s="8" t="s">
        <v>609</v>
      </c>
      <c r="G13" s="8" t="s">
        <v>610</v>
      </c>
    </row>
    <row r="14" customFormat="false" ht="15" hidden="false" customHeight="true" outlineLevel="0" collapsed="false">
      <c r="A14" s="8" t="s">
        <v>611</v>
      </c>
      <c r="B14" s="8" t="s">
        <v>561</v>
      </c>
      <c r="C14" s="8" t="s">
        <v>612</v>
      </c>
      <c r="D14" s="8" t="s">
        <v>597</v>
      </c>
      <c r="E14" s="8" t="s">
        <v>613</v>
      </c>
      <c r="F14" s="8" t="s">
        <v>614</v>
      </c>
      <c r="G14" s="8" t="s">
        <v>605</v>
      </c>
    </row>
    <row r="15" customFormat="false" ht="15" hidden="false" customHeight="true" outlineLevel="0" collapsed="false">
      <c r="A15" s="8" t="s">
        <v>615</v>
      </c>
      <c r="B15" s="8" t="s">
        <v>451</v>
      </c>
      <c r="C15" s="8" t="s">
        <v>616</v>
      </c>
      <c r="D15" s="8" t="s">
        <v>617</v>
      </c>
      <c r="E15" s="8" t="s">
        <v>613</v>
      </c>
      <c r="F15" s="8" t="s">
        <v>618</v>
      </c>
      <c r="G15" s="8" t="s">
        <v>619</v>
      </c>
    </row>
    <row r="16" customFormat="false" ht="15" hidden="false" customHeight="true" outlineLevel="0" collapsed="false">
      <c r="A16" s="8" t="s">
        <v>620</v>
      </c>
      <c r="B16" s="8" t="s">
        <v>451</v>
      </c>
      <c r="C16" s="8" t="s">
        <v>621</v>
      </c>
      <c r="D16" s="8" t="s">
        <v>617</v>
      </c>
      <c r="E16" s="8" t="s">
        <v>52</v>
      </c>
      <c r="F16" s="8" t="s">
        <v>622</v>
      </c>
      <c r="G16" s="8" t="s">
        <v>619</v>
      </c>
    </row>
    <row r="17" customFormat="false" ht="15" hidden="false" customHeight="true" outlineLevel="0" collapsed="false">
      <c r="A17" s="8" t="s">
        <v>623</v>
      </c>
      <c r="B17" s="8" t="s">
        <v>467</v>
      </c>
      <c r="C17" s="8" t="s">
        <v>624</v>
      </c>
      <c r="D17" s="8" t="s">
        <v>617</v>
      </c>
      <c r="E17" s="8" t="s">
        <v>52</v>
      </c>
      <c r="F17" s="8" t="s">
        <v>625</v>
      </c>
      <c r="G17" s="8" t="s">
        <v>151</v>
      </c>
    </row>
    <row r="18" customFormat="false" ht="23.25" hidden="false" customHeight="true" outlineLevel="0" collapsed="false">
      <c r="A18" s="8" t="s">
        <v>626</v>
      </c>
      <c r="B18" s="8" t="s">
        <v>467</v>
      </c>
      <c r="C18" s="8" t="s">
        <v>627</v>
      </c>
      <c r="D18" s="8" t="s">
        <v>597</v>
      </c>
      <c r="E18" s="8" t="s">
        <v>52</v>
      </c>
      <c r="F18" s="8" t="s">
        <v>628</v>
      </c>
      <c r="G18" s="8" t="s">
        <v>151</v>
      </c>
    </row>
    <row r="19" customFormat="false" ht="15" hidden="false" customHeight="true" outlineLevel="0" collapsed="false">
      <c r="A19" s="8" t="s">
        <v>629</v>
      </c>
      <c r="B19" s="8" t="s">
        <v>451</v>
      </c>
      <c r="C19" s="8" t="s">
        <v>630</v>
      </c>
      <c r="D19" s="8" t="s">
        <v>617</v>
      </c>
      <c r="E19" s="8" t="s">
        <v>588</v>
      </c>
      <c r="F19" s="8" t="s">
        <v>631</v>
      </c>
      <c r="G19" s="8" t="s">
        <v>151</v>
      </c>
    </row>
    <row r="20" customFormat="false" ht="15" hidden="false" customHeight="true" outlineLevel="0" collapsed="false">
      <c r="A20" s="8" t="s">
        <v>632</v>
      </c>
      <c r="B20" s="8" t="s">
        <v>561</v>
      </c>
      <c r="C20" s="8" t="s">
        <v>633</v>
      </c>
      <c r="D20" s="8" t="s">
        <v>563</v>
      </c>
      <c r="E20" s="8" t="s">
        <v>564</v>
      </c>
      <c r="F20" s="8" t="s">
        <v>634</v>
      </c>
      <c r="G20" s="8" t="s">
        <v>151</v>
      </c>
    </row>
    <row r="21" customFormat="false" ht="34.5" hidden="false" customHeight="true" outlineLevel="0" collapsed="false">
      <c r="A21" s="8" t="s">
        <v>635</v>
      </c>
      <c r="B21" s="8" t="s">
        <v>489</v>
      </c>
      <c r="C21" s="8" t="s">
        <v>636</v>
      </c>
      <c r="D21" s="8" t="s">
        <v>597</v>
      </c>
      <c r="E21" s="8" t="s">
        <v>52</v>
      </c>
      <c r="F21" s="8" t="s">
        <v>637</v>
      </c>
      <c r="G21" s="8" t="s">
        <v>151</v>
      </c>
    </row>
    <row r="22" customFormat="false" ht="15" hidden="false" customHeight="true" outlineLevel="0" collapsed="false">
      <c r="A22" s="8" t="s">
        <v>638</v>
      </c>
      <c r="B22" s="8" t="s">
        <v>451</v>
      </c>
      <c r="C22" s="8" t="s">
        <v>639</v>
      </c>
      <c r="D22" s="8" t="s">
        <v>617</v>
      </c>
      <c r="E22" s="8" t="s">
        <v>588</v>
      </c>
      <c r="F22" s="8" t="s">
        <v>640</v>
      </c>
      <c r="G22" s="8" t="s">
        <v>594</v>
      </c>
    </row>
    <row r="23" customFormat="false" ht="23.25" hidden="false" customHeight="true" outlineLevel="0" collapsed="false">
      <c r="A23" s="8" t="s">
        <v>641</v>
      </c>
      <c r="B23" s="8" t="s">
        <v>489</v>
      </c>
      <c r="C23" s="8" t="s">
        <v>642</v>
      </c>
      <c r="D23" s="8" t="s">
        <v>563</v>
      </c>
      <c r="E23" s="8" t="s">
        <v>564</v>
      </c>
      <c r="F23" s="8" t="s">
        <v>643</v>
      </c>
      <c r="G23" s="8" t="s">
        <v>151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10" t="s">
        <v>644</v>
      </c>
    </row>
    <row r="26" customFormat="false" ht="15" hidden="false" customHeight="true" outlineLevel="0" collapsed="false">
      <c r="A26" s="11" t="s">
        <v>645</v>
      </c>
      <c r="B26" s="11" t="s">
        <v>646</v>
      </c>
      <c r="C26" s="11" t="s">
        <v>647</v>
      </c>
      <c r="D26" s="11" t="s">
        <v>558</v>
      </c>
    </row>
    <row r="27" customFormat="false" ht="15" hidden="false" customHeight="true" outlineLevel="0" collapsed="false">
      <c r="A27" s="6" t="s">
        <v>648</v>
      </c>
      <c r="B27" s="6" t="s">
        <v>649</v>
      </c>
      <c r="C27" s="12" t="n">
        <v>10</v>
      </c>
      <c r="D27" s="6" t="s">
        <v>650</v>
      </c>
    </row>
    <row r="28" customFormat="false" ht="15" hidden="false" customHeight="true" outlineLevel="0" collapsed="false">
      <c r="A28" s="6" t="s">
        <v>651</v>
      </c>
      <c r="B28" s="6" t="s">
        <v>652</v>
      </c>
      <c r="C28" s="12" t="n">
        <v>5</v>
      </c>
      <c r="D28" s="6" t="s">
        <v>653</v>
      </c>
    </row>
    <row r="29" customFormat="false" ht="15" hidden="false" customHeight="true" outlineLevel="0" collapsed="false">
      <c r="A29" s="6" t="s">
        <v>654</v>
      </c>
      <c r="B29" s="6" t="s">
        <v>655</v>
      </c>
      <c r="C29" s="12" t="n">
        <v>3</v>
      </c>
      <c r="D29" s="6" t="s">
        <v>656</v>
      </c>
    </row>
    <row r="30" customFormat="false" ht="15" hidden="false" customHeight="true" outlineLevel="0" collapsed="false">
      <c r="A30" s="6" t="s">
        <v>657</v>
      </c>
      <c r="B30" s="6" t="s">
        <v>658</v>
      </c>
      <c r="C30" s="12" t="n">
        <v>1</v>
      </c>
      <c r="D30" s="6" t="s">
        <v>659</v>
      </c>
    </row>
    <row r="31" customFormat="false" ht="15" hidden="false" customHeight="true" outlineLevel="0" collapsed="false">
      <c r="A31" s="6" t="s">
        <v>660</v>
      </c>
      <c r="B31" s="6" t="s">
        <v>661</v>
      </c>
      <c r="C31" s="12" t="n">
        <v>0.5</v>
      </c>
      <c r="D31" s="6" t="s">
        <v>662</v>
      </c>
    </row>
    <row r="32" customFormat="false" ht="15" hidden="false" customHeight="true" outlineLevel="0" collapsed="false">
      <c r="A32" s="6" t="s">
        <v>663</v>
      </c>
      <c r="B32" s="6" t="s">
        <v>664</v>
      </c>
      <c r="C32" s="12" t="n">
        <v>0.2</v>
      </c>
      <c r="D32" s="6" t="s">
        <v>665</v>
      </c>
    </row>
    <row r="33" customFormat="false" ht="15" hidden="false" customHeight="true" outlineLevel="0" collapsed="false">
      <c r="A33" s="6" t="s">
        <v>666</v>
      </c>
      <c r="B33" s="6" t="s">
        <v>667</v>
      </c>
      <c r="C33" s="12" t="n">
        <v>0</v>
      </c>
      <c r="D33" s="6" t="s">
        <v>668</v>
      </c>
    </row>
    <row r="34" customFormat="false" ht="15" hidden="false" customHeight="true" outlineLevel="0" collapsed="false"/>
    <row r="35" customFormat="false" ht="15" hidden="false" customHeight="true" outlineLevel="0" collapsed="false">
      <c r="A35" s="6" t="s">
        <v>669</v>
      </c>
      <c r="C35" s="6" t="n">
        <f aca="false">SUM(C27:C33)</f>
        <v>19.7</v>
      </c>
    </row>
    <row r="36" customFormat="false" ht="15" hidden="false" customHeight="true" outlineLevel="0" collapsed="false">
      <c r="A36" s="6" t="s">
        <v>670</v>
      </c>
      <c r="C36" s="12" t="n">
        <v>40</v>
      </c>
      <c r="D36" s="6" t="s">
        <v>671</v>
      </c>
    </row>
    <row r="37" customFormat="false" ht="15" hidden="false" customHeight="true" outlineLevel="0" collapsed="false">
      <c r="A37" s="6" t="s">
        <v>672</v>
      </c>
      <c r="C37" s="13" t="n">
        <f aca="false">C35*C36/1000</f>
        <v>0.788</v>
      </c>
      <c r="D37" s="6" t="s">
        <v>673</v>
      </c>
    </row>
  </sheetData>
  <autoFilter ref="A1:G22"/>
  <dataValidations count="1">
    <dataValidation allowBlank="true" errorStyle="stop" operator="between" showDropDown="false" showErrorMessage="false" showInputMessage="false" sqref="D2:D500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4" min="4" style="1" width="64"/>
    <col collapsed="false" customWidth="true" hidden="false" outlineLevel="0" max="5" min="5" style="1" width="40"/>
    <col collapsed="false" customWidth="true" hidden="false" outlineLevel="0" max="6" min="6" style="1" width="12"/>
  </cols>
  <sheetData>
    <row r="1" customFormat="false" ht="15" hidden="false" customHeight="true" outlineLevel="0" collapsed="false">
      <c r="A1" s="14" t="s">
        <v>674</v>
      </c>
    </row>
    <row r="2" customFormat="false" ht="45" hidden="false" customHeight="true" outlineLevel="0" collapsed="false">
      <c r="A2" s="15" t="s">
        <v>675</v>
      </c>
      <c r="B2" s="15"/>
      <c r="C2" s="15"/>
      <c r="D2" s="15"/>
      <c r="E2" s="15"/>
      <c r="F2" s="15"/>
    </row>
    <row r="4" customFormat="false" ht="15" hidden="false" customHeight="true" outlineLevel="0" collapsed="false">
      <c r="A4" s="14" t="s">
        <v>676</v>
      </c>
    </row>
    <row r="5" customFormat="false" ht="15" hidden="false" customHeight="true" outlineLevel="0" collapsed="false">
      <c r="A5" s="7" t="s">
        <v>677</v>
      </c>
      <c r="B5" s="7" t="s">
        <v>678</v>
      </c>
      <c r="C5" s="7"/>
      <c r="D5" s="7" t="s">
        <v>679</v>
      </c>
      <c r="E5" s="7"/>
      <c r="F5" s="7"/>
    </row>
    <row r="6" customFormat="false" ht="15" hidden="false" customHeight="true" outlineLevel="0" collapsed="false">
      <c r="A6" s="8" t="s">
        <v>680</v>
      </c>
      <c r="B6" s="8" t="s">
        <v>681</v>
      </c>
      <c r="C6" s="8"/>
      <c r="D6" s="8" t="s">
        <v>682</v>
      </c>
      <c r="E6" s="8"/>
      <c r="F6" s="8"/>
    </row>
    <row r="7" customFormat="false" ht="23.25" hidden="false" customHeight="true" outlineLevel="0" collapsed="false">
      <c r="A7" s="8" t="s">
        <v>683</v>
      </c>
      <c r="B7" s="8" t="s">
        <v>684</v>
      </c>
      <c r="C7" s="8"/>
      <c r="D7" s="8" t="s">
        <v>685</v>
      </c>
      <c r="E7" s="8"/>
      <c r="F7" s="8" t="s">
        <v>281</v>
      </c>
    </row>
    <row r="8" customFormat="false" ht="34.5" hidden="false" customHeight="true" outlineLevel="0" collapsed="false">
      <c r="A8" s="8" t="s">
        <v>683</v>
      </c>
      <c r="B8" s="8" t="s">
        <v>686</v>
      </c>
      <c r="C8" s="8"/>
      <c r="D8" s="8" t="s">
        <v>687</v>
      </c>
      <c r="E8" s="8"/>
      <c r="F8" s="8" t="s">
        <v>312</v>
      </c>
    </row>
    <row r="9" customFormat="false" ht="15" hidden="false" customHeight="true" outlineLevel="0" collapsed="false">
      <c r="A9" s="8" t="s">
        <v>683</v>
      </c>
      <c r="B9" s="8" t="s">
        <v>688</v>
      </c>
      <c r="C9" s="8"/>
      <c r="D9" s="8" t="s">
        <v>689</v>
      </c>
      <c r="E9" s="8"/>
      <c r="F9" s="8"/>
    </row>
    <row r="10" customFormat="false" ht="23.25" hidden="false" customHeight="true" outlineLevel="0" collapsed="false">
      <c r="A10" s="8" t="s">
        <v>467</v>
      </c>
      <c r="B10" s="8" t="s">
        <v>690</v>
      </c>
      <c r="C10" s="8"/>
      <c r="D10" s="8" t="s">
        <v>691</v>
      </c>
      <c r="E10" s="8"/>
      <c r="F10" s="8"/>
    </row>
    <row r="11" customFormat="false" ht="45.75" hidden="false" customHeight="true" outlineLevel="0" collapsed="false">
      <c r="A11" s="8" t="s">
        <v>467</v>
      </c>
      <c r="B11" s="8" t="s">
        <v>692</v>
      </c>
      <c r="C11" s="8"/>
      <c r="D11" s="8" t="s">
        <v>693</v>
      </c>
      <c r="E11" s="8"/>
      <c r="F11" s="8"/>
    </row>
    <row r="12" customFormat="false" ht="15" hidden="false" customHeight="true" outlineLevel="0" collapsed="false">
      <c r="A12" s="8" t="s">
        <v>451</v>
      </c>
      <c r="B12" s="8" t="s">
        <v>694</v>
      </c>
      <c r="C12" s="8"/>
      <c r="D12" s="8" t="s">
        <v>695</v>
      </c>
      <c r="E12" s="8"/>
      <c r="F12" s="8"/>
    </row>
    <row r="13" customFormat="false" ht="45.75" hidden="false" customHeight="true" outlineLevel="0" collapsed="false">
      <c r="A13" s="8" t="s">
        <v>451</v>
      </c>
      <c r="B13" s="8" t="s">
        <v>696</v>
      </c>
      <c r="C13" s="8"/>
      <c r="D13" s="8" t="s">
        <v>697</v>
      </c>
      <c r="E13" s="8"/>
      <c r="F13" s="8"/>
    </row>
    <row r="14" customFormat="false" ht="23.25" hidden="false" customHeight="true" outlineLevel="0" collapsed="false">
      <c r="A14" s="8" t="s">
        <v>698</v>
      </c>
      <c r="B14" s="8" t="s">
        <v>699</v>
      </c>
      <c r="C14" s="8"/>
      <c r="D14" s="8" t="s">
        <v>700</v>
      </c>
      <c r="E14" s="8"/>
      <c r="F14" s="8" t="s">
        <v>701</v>
      </c>
    </row>
    <row r="15" customFormat="false" ht="23.25" hidden="false" customHeight="true" outlineLevel="0" collapsed="false">
      <c r="A15" s="8" t="s">
        <v>698</v>
      </c>
      <c r="B15" s="8" t="s">
        <v>702</v>
      </c>
      <c r="C15" s="8"/>
      <c r="D15" s="8" t="s">
        <v>703</v>
      </c>
      <c r="E15" s="8"/>
      <c r="F15" s="8"/>
    </row>
    <row r="16" customFormat="false" ht="15" hidden="false" customHeight="true" outlineLevel="0" collapsed="false">
      <c r="A16" s="8" t="s">
        <v>704</v>
      </c>
      <c r="B16" s="8" t="s">
        <v>705</v>
      </c>
      <c r="C16" s="8"/>
      <c r="D16" s="8" t="s">
        <v>706</v>
      </c>
      <c r="E16" s="8"/>
      <c r="F16" s="8"/>
    </row>
    <row r="18" customFormat="false" ht="15" hidden="false" customHeight="true" outlineLevel="0" collapsed="false">
      <c r="A18" s="14" t="s">
        <v>707</v>
      </c>
    </row>
    <row r="19" customFormat="false" ht="15" hidden="false" customHeight="true" outlineLevel="0" collapsed="false">
      <c r="A19" s="7" t="s">
        <v>708</v>
      </c>
      <c r="B19" s="7" t="s">
        <v>709</v>
      </c>
      <c r="C19" s="7" t="s">
        <v>710</v>
      </c>
      <c r="D19" s="7" t="s">
        <v>711</v>
      </c>
      <c r="E19" s="7" t="s">
        <v>712</v>
      </c>
      <c r="F19" s="7" t="s">
        <v>713</v>
      </c>
    </row>
    <row r="20" customFormat="false" ht="23.25" hidden="false" customHeight="true" outlineLevel="0" collapsed="false">
      <c r="A20" s="8" t="s">
        <v>714</v>
      </c>
      <c r="B20" s="8" t="s">
        <v>715</v>
      </c>
      <c r="C20" s="8" t="s">
        <v>716</v>
      </c>
      <c r="D20" s="8" t="s">
        <v>717</v>
      </c>
      <c r="E20" s="8" t="s">
        <v>718</v>
      </c>
      <c r="F20" s="8"/>
    </row>
    <row r="21" customFormat="false" ht="23.25" hidden="false" customHeight="true" outlineLevel="0" collapsed="false">
      <c r="A21" s="8" t="s">
        <v>719</v>
      </c>
      <c r="B21" s="8" t="s">
        <v>714</v>
      </c>
      <c r="C21" s="8" t="s">
        <v>720</v>
      </c>
      <c r="D21" s="8" t="s">
        <v>721</v>
      </c>
      <c r="E21" s="8" t="s">
        <v>718</v>
      </c>
      <c r="F21" s="8" t="s">
        <v>722</v>
      </c>
    </row>
    <row r="22" customFormat="false" ht="34.5" hidden="false" customHeight="true" outlineLevel="0" collapsed="false">
      <c r="A22" s="8" t="s">
        <v>723</v>
      </c>
      <c r="B22" s="8" t="s">
        <v>724</v>
      </c>
      <c r="C22" s="8" t="s">
        <v>725</v>
      </c>
      <c r="D22" s="8" t="s">
        <v>726</v>
      </c>
      <c r="E22" s="8" t="s">
        <v>727</v>
      </c>
      <c r="F22" s="8" t="s">
        <v>728</v>
      </c>
    </row>
    <row r="23" customFormat="false" ht="23.25" hidden="false" customHeight="true" outlineLevel="0" collapsed="false">
      <c r="A23" s="8" t="s">
        <v>729</v>
      </c>
      <c r="B23" s="8" t="s">
        <v>714</v>
      </c>
      <c r="C23" s="8" t="s">
        <v>730</v>
      </c>
      <c r="D23" s="8" t="s">
        <v>731</v>
      </c>
      <c r="E23" s="8" t="s">
        <v>451</v>
      </c>
      <c r="F23" s="8" t="s">
        <v>578</v>
      </c>
    </row>
    <row r="24" customFormat="false" ht="23.25" hidden="false" customHeight="true" outlineLevel="0" collapsed="false">
      <c r="A24" s="8" t="s">
        <v>732</v>
      </c>
      <c r="B24" s="8" t="s">
        <v>733</v>
      </c>
      <c r="C24" s="8" t="s">
        <v>734</v>
      </c>
      <c r="D24" s="8" t="s">
        <v>735</v>
      </c>
      <c r="E24" s="8" t="s">
        <v>451</v>
      </c>
      <c r="F24" s="8" t="s">
        <v>578</v>
      </c>
    </row>
    <row r="25" customFormat="false" ht="23.25" hidden="false" customHeight="true" outlineLevel="0" collapsed="false">
      <c r="A25" s="8" t="s">
        <v>736</v>
      </c>
      <c r="B25" s="8" t="s">
        <v>737</v>
      </c>
      <c r="C25" s="8" t="s">
        <v>738</v>
      </c>
      <c r="D25" s="8" t="s">
        <v>739</v>
      </c>
      <c r="E25" s="8" t="s">
        <v>451</v>
      </c>
      <c r="F25" s="8" t="s">
        <v>740</v>
      </c>
    </row>
    <row r="26" customFormat="false" ht="15" hidden="false" customHeight="true" outlineLevel="0" collapsed="false">
      <c r="A26" s="8" t="s">
        <v>741</v>
      </c>
      <c r="B26" s="8" t="s">
        <v>742</v>
      </c>
      <c r="C26" s="8" t="s">
        <v>743</v>
      </c>
      <c r="D26" s="8" t="s">
        <v>744</v>
      </c>
      <c r="E26" s="8" t="s">
        <v>451</v>
      </c>
      <c r="F26" s="8" t="s">
        <v>582</v>
      </c>
    </row>
    <row r="27" customFormat="false" ht="23.25" hidden="false" customHeight="true" outlineLevel="0" collapsed="false">
      <c r="A27" s="8" t="s">
        <v>745</v>
      </c>
      <c r="B27" s="8" t="s">
        <v>746</v>
      </c>
      <c r="C27" s="8" t="s">
        <v>747</v>
      </c>
      <c r="D27" s="8" t="s">
        <v>748</v>
      </c>
      <c r="E27" s="8" t="s">
        <v>451</v>
      </c>
      <c r="F27" s="8" t="s">
        <v>595</v>
      </c>
    </row>
    <row r="28" customFormat="false" ht="15" hidden="false" customHeight="true" outlineLevel="0" collapsed="false">
      <c r="A28" s="8" t="s">
        <v>749</v>
      </c>
      <c r="B28" s="8" t="s">
        <v>714</v>
      </c>
      <c r="C28" s="8" t="s">
        <v>750</v>
      </c>
      <c r="D28" s="8" t="s">
        <v>751</v>
      </c>
      <c r="E28" s="8" t="s">
        <v>451</v>
      </c>
      <c r="F28" s="8" t="s">
        <v>578</v>
      </c>
    </row>
    <row r="29" customFormat="false" ht="23.25" hidden="false" customHeight="true" outlineLevel="0" collapsed="false">
      <c r="A29" s="8" t="s">
        <v>752</v>
      </c>
      <c r="B29" s="8" t="s">
        <v>714</v>
      </c>
      <c r="C29" s="8" t="s">
        <v>753</v>
      </c>
      <c r="D29" s="8" t="s">
        <v>754</v>
      </c>
      <c r="E29" s="8" t="s">
        <v>451</v>
      </c>
      <c r="F29" s="8" t="s">
        <v>602</v>
      </c>
    </row>
    <row r="30" customFormat="false" ht="23.25" hidden="false" customHeight="true" outlineLevel="0" collapsed="false">
      <c r="A30" s="8" t="s">
        <v>755</v>
      </c>
      <c r="B30" s="8" t="s">
        <v>714</v>
      </c>
      <c r="C30" s="8" t="s">
        <v>756</v>
      </c>
      <c r="D30" s="8" t="s">
        <v>757</v>
      </c>
      <c r="E30" s="8" t="s">
        <v>758</v>
      </c>
      <c r="F30" s="8" t="s">
        <v>606</v>
      </c>
    </row>
    <row r="31" customFormat="false" ht="15" hidden="false" customHeight="true" outlineLevel="0" collapsed="false">
      <c r="A31" s="8" t="s">
        <v>759</v>
      </c>
      <c r="B31" s="8" t="s">
        <v>760</v>
      </c>
      <c r="C31" s="8" t="s">
        <v>761</v>
      </c>
      <c r="D31" s="8" t="s">
        <v>762</v>
      </c>
      <c r="E31" s="8" t="s">
        <v>718</v>
      </c>
      <c r="F31" s="8" t="s">
        <v>763</v>
      </c>
    </row>
    <row r="32" customFormat="false" ht="15" hidden="false" customHeight="true" outlineLevel="0" collapsed="false">
      <c r="A32" s="8" t="s">
        <v>764</v>
      </c>
      <c r="B32" s="8" t="s">
        <v>765</v>
      </c>
      <c r="C32" s="8" t="s">
        <v>766</v>
      </c>
      <c r="D32" s="8" t="s">
        <v>767</v>
      </c>
      <c r="E32" s="8" t="s">
        <v>768</v>
      </c>
      <c r="F32" s="8"/>
    </row>
    <row r="34" customFormat="false" ht="15" hidden="false" customHeight="true" outlineLevel="0" collapsed="false">
      <c r="A34" s="14" t="s">
        <v>769</v>
      </c>
    </row>
    <row r="35" customFormat="false" ht="30" hidden="false" customHeight="true" outlineLevel="0" collapsed="false">
      <c r="A35" s="15" t="s">
        <v>770</v>
      </c>
      <c r="B35" s="15"/>
      <c r="C35" s="15"/>
      <c r="D35" s="15"/>
      <c r="E35" s="15"/>
      <c r="F35" s="15"/>
    </row>
    <row r="36" customFormat="false" ht="15" hidden="false" customHeight="true" outlineLevel="0" collapsed="false">
      <c r="A36" s="7" t="s">
        <v>771</v>
      </c>
      <c r="B36" s="7" t="s">
        <v>772</v>
      </c>
      <c r="C36" s="7" t="s">
        <v>773</v>
      </c>
      <c r="D36" s="7" t="s">
        <v>679</v>
      </c>
      <c r="E36" s="7" t="s">
        <v>774</v>
      </c>
      <c r="F36" s="7" t="s">
        <v>713</v>
      </c>
    </row>
    <row r="37" customFormat="false" ht="15.75" hidden="false" customHeight="true" outlineLevel="0" collapsed="false">
      <c r="A37" s="16" t="s">
        <v>775</v>
      </c>
      <c r="B37" s="16"/>
      <c r="C37" s="16"/>
      <c r="D37" s="16"/>
      <c r="E37" s="16"/>
      <c r="F37" s="16"/>
    </row>
    <row r="38" customFormat="false" ht="45.75" hidden="false" customHeight="true" outlineLevel="0" collapsed="false">
      <c r="A38" s="8" t="s">
        <v>776</v>
      </c>
      <c r="B38" s="8" t="s">
        <v>777</v>
      </c>
      <c r="C38" s="8" t="s">
        <v>778</v>
      </c>
      <c r="D38" s="8" t="s">
        <v>779</v>
      </c>
      <c r="E38" s="8" t="s">
        <v>780</v>
      </c>
      <c r="F38" s="8" t="s">
        <v>281</v>
      </c>
    </row>
    <row r="39" customFormat="false" ht="34.5" hidden="false" customHeight="true" outlineLevel="0" collapsed="false">
      <c r="A39" s="8" t="s">
        <v>776</v>
      </c>
      <c r="B39" s="8" t="s">
        <v>781</v>
      </c>
      <c r="C39" s="8" t="s">
        <v>782</v>
      </c>
      <c r="D39" s="8" t="s">
        <v>783</v>
      </c>
      <c r="E39" s="8" t="s">
        <v>784</v>
      </c>
      <c r="F39" s="8" t="s">
        <v>560</v>
      </c>
    </row>
    <row r="40" customFormat="false" ht="23.25" hidden="false" customHeight="true" outlineLevel="0" collapsed="false">
      <c r="A40" s="8" t="s">
        <v>776</v>
      </c>
      <c r="B40" s="8" t="s">
        <v>785</v>
      </c>
      <c r="C40" s="8" t="s">
        <v>786</v>
      </c>
      <c r="D40" s="8" t="s">
        <v>787</v>
      </c>
      <c r="E40" s="8"/>
      <c r="F40" s="8" t="s">
        <v>586</v>
      </c>
    </row>
    <row r="41" customFormat="false" ht="15.75" hidden="false" customHeight="true" outlineLevel="0" collapsed="false">
      <c r="A41" s="16" t="s">
        <v>788</v>
      </c>
      <c r="B41" s="16"/>
      <c r="C41" s="16"/>
      <c r="D41" s="16"/>
      <c r="E41" s="16"/>
      <c r="F41" s="16"/>
    </row>
    <row r="42" customFormat="false" ht="34.5" hidden="false" customHeight="true" outlineLevel="0" collapsed="false">
      <c r="A42" s="8" t="s">
        <v>789</v>
      </c>
      <c r="B42" s="8" t="s">
        <v>790</v>
      </c>
      <c r="C42" s="8" t="s">
        <v>791</v>
      </c>
      <c r="D42" s="8" t="s">
        <v>792</v>
      </c>
      <c r="E42" s="8"/>
      <c r="F42" s="8" t="s">
        <v>566</v>
      </c>
    </row>
    <row r="43" customFormat="false" ht="34.5" hidden="false" customHeight="true" outlineLevel="0" collapsed="false">
      <c r="A43" s="8" t="s">
        <v>789</v>
      </c>
      <c r="B43" s="8" t="s">
        <v>793</v>
      </c>
      <c r="C43" s="8" t="s">
        <v>794</v>
      </c>
      <c r="D43" s="8" t="s">
        <v>795</v>
      </c>
      <c r="E43" s="8" t="s">
        <v>796</v>
      </c>
      <c r="F43" s="8" t="s">
        <v>797</v>
      </c>
    </row>
    <row r="44" customFormat="false" ht="34.5" hidden="false" customHeight="true" outlineLevel="0" collapsed="false">
      <c r="A44" s="8" t="s">
        <v>789</v>
      </c>
      <c r="B44" s="8" t="s">
        <v>798</v>
      </c>
      <c r="C44" s="8" t="s">
        <v>799</v>
      </c>
      <c r="D44" s="8" t="s">
        <v>800</v>
      </c>
      <c r="E44" s="8" t="s">
        <v>801</v>
      </c>
      <c r="F44" s="8" t="s">
        <v>802</v>
      </c>
    </row>
    <row r="45" customFormat="false" ht="45.75" hidden="false" customHeight="true" outlineLevel="0" collapsed="false">
      <c r="A45" s="8" t="s">
        <v>789</v>
      </c>
      <c r="B45" s="8" t="s">
        <v>803</v>
      </c>
      <c r="C45" s="8" t="s">
        <v>804</v>
      </c>
      <c r="D45" s="8" t="s">
        <v>805</v>
      </c>
      <c r="E45" s="8"/>
      <c r="F45" s="8" t="s">
        <v>806</v>
      </c>
    </row>
    <row r="46" customFormat="false" ht="15.75" hidden="false" customHeight="true" outlineLevel="0" collapsed="false">
      <c r="A46" s="16" t="s">
        <v>807</v>
      </c>
      <c r="B46" s="16"/>
      <c r="C46" s="16"/>
      <c r="D46" s="16"/>
      <c r="E46" s="16"/>
      <c r="F46" s="16"/>
    </row>
    <row r="47" customFormat="false" ht="34.5" hidden="false" customHeight="true" outlineLevel="0" collapsed="false">
      <c r="A47" s="8" t="s">
        <v>808</v>
      </c>
      <c r="B47" s="8" t="s">
        <v>809</v>
      </c>
      <c r="C47" s="8" t="s">
        <v>810</v>
      </c>
      <c r="D47" s="8" t="s">
        <v>811</v>
      </c>
      <c r="E47" s="8" t="s">
        <v>812</v>
      </c>
      <c r="F47" s="8" t="s">
        <v>566</v>
      </c>
    </row>
    <row r="48" customFormat="false" ht="23.25" hidden="false" customHeight="true" outlineLevel="0" collapsed="false">
      <c r="A48" s="8" t="s">
        <v>813</v>
      </c>
      <c r="B48" s="8" t="s">
        <v>814</v>
      </c>
      <c r="C48" s="8" t="s">
        <v>815</v>
      </c>
      <c r="D48" s="8" t="s">
        <v>816</v>
      </c>
      <c r="E48" s="8" t="s">
        <v>817</v>
      </c>
      <c r="F48" s="8" t="s">
        <v>566</v>
      </c>
    </row>
    <row r="49" customFormat="false" ht="34.5" hidden="false" customHeight="true" outlineLevel="0" collapsed="false">
      <c r="A49" s="8" t="s">
        <v>818</v>
      </c>
      <c r="B49" s="8" t="s">
        <v>819</v>
      </c>
      <c r="C49" s="8" t="s">
        <v>820</v>
      </c>
      <c r="D49" s="8" t="s">
        <v>821</v>
      </c>
      <c r="E49" s="8" t="s">
        <v>822</v>
      </c>
      <c r="F49" s="8" t="s">
        <v>566</v>
      </c>
    </row>
    <row r="50" customFormat="false" ht="34.5" hidden="false" customHeight="true" outlineLevel="0" collapsed="false">
      <c r="A50" s="8" t="s">
        <v>823</v>
      </c>
      <c r="B50" s="8" t="s">
        <v>824</v>
      </c>
      <c r="C50" s="8" t="s">
        <v>825</v>
      </c>
      <c r="D50" s="8" t="s">
        <v>826</v>
      </c>
      <c r="E50" s="8" t="s">
        <v>827</v>
      </c>
      <c r="F50" s="8" t="s">
        <v>570</v>
      </c>
    </row>
    <row r="51" customFormat="false" ht="34.5" hidden="false" customHeight="true" outlineLevel="0" collapsed="false">
      <c r="A51" s="8" t="s">
        <v>828</v>
      </c>
      <c r="B51" s="8" t="s">
        <v>829</v>
      </c>
      <c r="C51" s="8" t="s">
        <v>830</v>
      </c>
      <c r="D51" s="8" t="s">
        <v>831</v>
      </c>
      <c r="E51" s="8" t="s">
        <v>832</v>
      </c>
      <c r="F51" s="8" t="s">
        <v>833</v>
      </c>
    </row>
    <row r="52" customFormat="false" ht="23.25" hidden="false" customHeight="true" outlineLevel="0" collapsed="false">
      <c r="A52" s="8" t="s">
        <v>834</v>
      </c>
      <c r="B52" s="8" t="s">
        <v>835</v>
      </c>
      <c r="C52" s="8" t="s">
        <v>836</v>
      </c>
      <c r="D52" s="8" t="s">
        <v>837</v>
      </c>
      <c r="E52" s="8" t="s">
        <v>838</v>
      </c>
      <c r="F52" s="8" t="s">
        <v>606</v>
      </c>
    </row>
    <row r="53" customFormat="false" ht="15" hidden="false" customHeight="true" outlineLevel="0" collapsed="false">
      <c r="A53" s="8" t="s">
        <v>839</v>
      </c>
      <c r="B53" s="8" t="s">
        <v>840</v>
      </c>
      <c r="C53" s="8" t="s">
        <v>841</v>
      </c>
      <c r="D53" s="8" t="s">
        <v>842</v>
      </c>
      <c r="E53" s="8"/>
      <c r="F53" s="8" t="s">
        <v>151</v>
      </c>
    </row>
    <row r="54" customFormat="false" ht="15.75" hidden="false" customHeight="true" outlineLevel="0" collapsed="false">
      <c r="A54" s="16" t="s">
        <v>843</v>
      </c>
      <c r="B54" s="16"/>
      <c r="C54" s="16"/>
      <c r="D54" s="16"/>
      <c r="E54" s="16"/>
      <c r="F54" s="16"/>
    </row>
    <row r="55" customFormat="false" ht="34.5" hidden="false" customHeight="true" outlineLevel="0" collapsed="false">
      <c r="A55" s="8" t="s">
        <v>808</v>
      </c>
      <c r="B55" s="8" t="s">
        <v>844</v>
      </c>
      <c r="C55" s="8" t="s">
        <v>845</v>
      </c>
      <c r="D55" s="8" t="s">
        <v>846</v>
      </c>
      <c r="E55" s="8" t="s">
        <v>847</v>
      </c>
      <c r="F55" s="8" t="s">
        <v>848</v>
      </c>
    </row>
    <row r="56" customFormat="false" ht="34.5" hidden="false" customHeight="true" outlineLevel="0" collapsed="false">
      <c r="A56" s="8" t="s">
        <v>849</v>
      </c>
      <c r="B56" s="8" t="s">
        <v>850</v>
      </c>
      <c r="C56" s="8" t="s">
        <v>851</v>
      </c>
      <c r="D56" s="8" t="s">
        <v>852</v>
      </c>
      <c r="E56" s="8" t="s">
        <v>853</v>
      </c>
      <c r="F56" s="8" t="s">
        <v>578</v>
      </c>
    </row>
    <row r="57" customFormat="false" ht="34.5" hidden="false" customHeight="true" outlineLevel="0" collapsed="false">
      <c r="A57" s="8" t="s">
        <v>854</v>
      </c>
      <c r="B57" s="8" t="s">
        <v>855</v>
      </c>
      <c r="C57" s="8" t="s">
        <v>856</v>
      </c>
      <c r="D57" s="8" t="s">
        <v>857</v>
      </c>
      <c r="E57" s="8" t="s">
        <v>858</v>
      </c>
      <c r="F57" s="8" t="s">
        <v>859</v>
      </c>
    </row>
    <row r="58" customFormat="false" ht="23.25" hidden="false" customHeight="true" outlineLevel="0" collapsed="false">
      <c r="A58" s="8" t="s">
        <v>854</v>
      </c>
      <c r="B58" s="8" t="s">
        <v>860</v>
      </c>
      <c r="C58" s="8" t="s">
        <v>861</v>
      </c>
      <c r="D58" s="8" t="s">
        <v>862</v>
      </c>
      <c r="E58" s="8" t="s">
        <v>863</v>
      </c>
      <c r="F58" s="8" t="s">
        <v>582</v>
      </c>
    </row>
    <row r="59" customFormat="false" ht="34.5" hidden="false" customHeight="true" outlineLevel="0" collapsed="false">
      <c r="A59" s="8" t="s">
        <v>864</v>
      </c>
      <c r="B59" s="8" t="s">
        <v>865</v>
      </c>
      <c r="C59" s="8" t="s">
        <v>866</v>
      </c>
      <c r="D59" s="8" t="s">
        <v>867</v>
      </c>
      <c r="E59" s="8" t="s">
        <v>868</v>
      </c>
      <c r="F59" s="8" t="s">
        <v>869</v>
      </c>
    </row>
    <row r="60" customFormat="false" ht="34.5" hidden="false" customHeight="true" outlineLevel="0" collapsed="false">
      <c r="A60" s="8" t="s">
        <v>870</v>
      </c>
      <c r="B60" s="8" t="s">
        <v>871</v>
      </c>
      <c r="C60" s="8" t="s">
        <v>872</v>
      </c>
      <c r="D60" s="8" t="s">
        <v>873</v>
      </c>
      <c r="E60" s="8" t="s">
        <v>874</v>
      </c>
      <c r="F60" s="8" t="s">
        <v>875</v>
      </c>
    </row>
    <row r="61" customFormat="false" ht="23.25" hidden="false" customHeight="true" outlineLevel="0" collapsed="false">
      <c r="A61" s="8" t="s">
        <v>876</v>
      </c>
      <c r="B61" s="8" t="s">
        <v>877</v>
      </c>
      <c r="C61" s="8" t="s">
        <v>878</v>
      </c>
      <c r="D61" s="8" t="s">
        <v>879</v>
      </c>
      <c r="E61" s="8" t="s">
        <v>880</v>
      </c>
      <c r="F61" s="8" t="s">
        <v>595</v>
      </c>
    </row>
    <row r="62" customFormat="false" ht="23.25" hidden="false" customHeight="true" outlineLevel="0" collapsed="false">
      <c r="A62" s="8" t="s">
        <v>881</v>
      </c>
      <c r="B62" s="8" t="s">
        <v>882</v>
      </c>
      <c r="C62" s="8" t="s">
        <v>883</v>
      </c>
      <c r="D62" s="8" t="s">
        <v>884</v>
      </c>
      <c r="E62" s="8" t="s">
        <v>885</v>
      </c>
      <c r="F62" s="8" t="s">
        <v>602</v>
      </c>
    </row>
    <row r="63" customFormat="false" ht="23.25" hidden="false" customHeight="true" outlineLevel="0" collapsed="false">
      <c r="A63" s="8" t="s">
        <v>886</v>
      </c>
      <c r="B63" s="8" t="s">
        <v>887</v>
      </c>
      <c r="C63" s="8" t="s">
        <v>888</v>
      </c>
      <c r="D63" s="8" t="s">
        <v>889</v>
      </c>
      <c r="E63" s="8" t="s">
        <v>597</v>
      </c>
      <c r="F63" s="8" t="s">
        <v>890</v>
      </c>
    </row>
    <row r="64" customFormat="false" ht="15" hidden="false" customHeight="true" outlineLevel="0" collapsed="false">
      <c r="A64" s="8" t="s">
        <v>839</v>
      </c>
      <c r="B64" s="8" t="s">
        <v>840</v>
      </c>
      <c r="C64" s="8" t="s">
        <v>841</v>
      </c>
      <c r="D64" s="8" t="s">
        <v>891</v>
      </c>
      <c r="E64" s="8"/>
      <c r="F64" s="8" t="s">
        <v>151</v>
      </c>
    </row>
    <row r="65" customFormat="false" ht="15.75" hidden="false" customHeight="true" outlineLevel="0" collapsed="false">
      <c r="A65" s="16" t="s">
        <v>892</v>
      </c>
      <c r="B65" s="16"/>
      <c r="C65" s="16"/>
      <c r="D65" s="16"/>
      <c r="E65" s="16"/>
      <c r="F65" s="16"/>
    </row>
    <row r="66" customFormat="false" ht="34.5" hidden="false" customHeight="true" outlineLevel="0" collapsed="false">
      <c r="A66" s="8" t="s">
        <v>893</v>
      </c>
      <c r="B66" s="8" t="s">
        <v>894</v>
      </c>
      <c r="C66" s="8" t="s">
        <v>895</v>
      </c>
      <c r="D66" s="8" t="s">
        <v>896</v>
      </c>
      <c r="E66" s="8" t="s">
        <v>897</v>
      </c>
      <c r="F66" s="8" t="s">
        <v>641</v>
      </c>
    </row>
    <row r="67" customFormat="false" ht="34.5" hidden="false" customHeight="true" outlineLevel="0" collapsed="false">
      <c r="A67" s="8" t="s">
        <v>893</v>
      </c>
      <c r="B67" s="8" t="s">
        <v>898</v>
      </c>
      <c r="C67" s="8" t="s">
        <v>899</v>
      </c>
      <c r="D67" s="8" t="s">
        <v>900</v>
      </c>
      <c r="E67" s="8" t="s">
        <v>901</v>
      </c>
      <c r="F67" s="8" t="s">
        <v>635</v>
      </c>
    </row>
    <row r="69" customFormat="false" ht="15" hidden="false" customHeight="true" outlineLevel="0" collapsed="false">
      <c r="A69" s="14" t="s">
        <v>902</v>
      </c>
    </row>
    <row r="70" customFormat="false" ht="23.25" hidden="false" customHeight="true" outlineLevel="0" collapsed="false">
      <c r="A70" s="7" t="s">
        <v>903</v>
      </c>
      <c r="B70" s="7" t="s">
        <v>679</v>
      </c>
      <c r="C70" s="7" t="s">
        <v>904</v>
      </c>
      <c r="D70" s="7" t="s">
        <v>905</v>
      </c>
      <c r="E70" s="7" t="s">
        <v>906</v>
      </c>
      <c r="F70" s="7" t="s">
        <v>907</v>
      </c>
    </row>
    <row r="71" customFormat="false" ht="79.5" hidden="false" customHeight="true" outlineLevel="0" collapsed="false">
      <c r="A71" s="8" t="s">
        <v>467</v>
      </c>
      <c r="B71" s="8" t="s">
        <v>908</v>
      </c>
      <c r="C71" s="8" t="s">
        <v>909</v>
      </c>
      <c r="D71" s="8" t="s">
        <v>910</v>
      </c>
      <c r="E71" s="8" t="s">
        <v>911</v>
      </c>
      <c r="F71" s="8" t="s">
        <v>912</v>
      </c>
    </row>
    <row r="72" customFormat="false" ht="57" hidden="false" customHeight="true" outlineLevel="0" collapsed="false">
      <c r="A72" s="8" t="s">
        <v>467</v>
      </c>
      <c r="B72" s="8" t="s">
        <v>913</v>
      </c>
      <c r="C72" s="8" t="s">
        <v>914</v>
      </c>
      <c r="D72" s="8" t="s">
        <v>915</v>
      </c>
      <c r="E72" s="8" t="s">
        <v>916</v>
      </c>
      <c r="F72" s="8" t="s">
        <v>917</v>
      </c>
    </row>
    <row r="73" customFormat="false" ht="57" hidden="false" customHeight="true" outlineLevel="0" collapsed="false">
      <c r="A73" s="8" t="s">
        <v>467</v>
      </c>
      <c r="B73" s="8" t="s">
        <v>918</v>
      </c>
      <c r="C73" s="8" t="s">
        <v>919</v>
      </c>
      <c r="D73" s="8" t="s">
        <v>920</v>
      </c>
      <c r="E73" s="8" t="s">
        <v>921</v>
      </c>
      <c r="F73" s="8" t="s">
        <v>922</v>
      </c>
    </row>
    <row r="74" customFormat="false" ht="23.25" hidden="false" customHeight="true" outlineLevel="0" collapsed="false">
      <c r="A74" s="8" t="s">
        <v>467</v>
      </c>
      <c r="B74" s="8" t="s">
        <v>923</v>
      </c>
      <c r="C74" s="8" t="s">
        <v>924</v>
      </c>
      <c r="D74" s="8" t="s">
        <v>920</v>
      </c>
      <c r="E74" s="8" t="s">
        <v>925</v>
      </c>
      <c r="F74" s="8" t="s">
        <v>926</v>
      </c>
    </row>
    <row r="75" customFormat="false" ht="34.5" hidden="false" customHeight="true" outlineLevel="0" collapsed="false">
      <c r="A75" s="8" t="s">
        <v>451</v>
      </c>
      <c r="B75" s="8" t="s">
        <v>927</v>
      </c>
      <c r="C75" s="8" t="s">
        <v>928</v>
      </c>
      <c r="D75" s="8" t="s">
        <v>929</v>
      </c>
      <c r="E75" s="8" t="s">
        <v>930</v>
      </c>
      <c r="F75" s="8" t="s">
        <v>931</v>
      </c>
    </row>
    <row r="76" customFormat="false" ht="90.75" hidden="false" customHeight="true" outlineLevel="0" collapsed="false">
      <c r="A76" s="8" t="s">
        <v>451</v>
      </c>
      <c r="B76" s="8" t="s">
        <v>932</v>
      </c>
      <c r="C76" s="8" t="s">
        <v>933</v>
      </c>
      <c r="D76" s="8" t="s">
        <v>915</v>
      </c>
      <c r="E76" s="8" t="s">
        <v>934</v>
      </c>
      <c r="F76" s="8" t="s">
        <v>935</v>
      </c>
    </row>
    <row r="77" customFormat="false" ht="15" hidden="false" customHeight="true" outlineLevel="0" collapsed="false">
      <c r="A77" s="8" t="s">
        <v>451</v>
      </c>
      <c r="B77" s="8" t="s">
        <v>936</v>
      </c>
      <c r="C77" s="8" t="s">
        <v>151</v>
      </c>
      <c r="D77" s="8" t="s">
        <v>151</v>
      </c>
      <c r="E77" s="8" t="s">
        <v>151</v>
      </c>
      <c r="F77" s="8" t="s">
        <v>937</v>
      </c>
    </row>
    <row r="78" customFormat="false" ht="15" hidden="false" customHeight="true" outlineLevel="0" collapsed="false">
      <c r="A78" s="8" t="s">
        <v>451</v>
      </c>
      <c r="B78" s="8" t="s">
        <v>938</v>
      </c>
      <c r="C78" s="8" t="s">
        <v>939</v>
      </c>
      <c r="D78" s="8" t="s">
        <v>920</v>
      </c>
      <c r="E78" s="8" t="s">
        <v>940</v>
      </c>
      <c r="F78" s="8" t="s">
        <v>941</v>
      </c>
    </row>
    <row r="79" customFormat="false" ht="57" hidden="false" customHeight="true" outlineLevel="0" collapsed="false">
      <c r="A79" s="8" t="s">
        <v>558</v>
      </c>
      <c r="B79" s="8" t="s">
        <v>942</v>
      </c>
      <c r="C79" s="8"/>
      <c r="D79" s="8"/>
      <c r="E79" s="8"/>
      <c r="F79" s="8" t="s">
        <v>943</v>
      </c>
    </row>
    <row r="81" customFormat="false" ht="15" hidden="false" customHeight="true" outlineLevel="0" collapsed="false">
      <c r="A81" s="14" t="s">
        <v>944</v>
      </c>
    </row>
    <row r="82" customFormat="false" ht="15" hidden="false" customHeight="true" outlineLevel="0" collapsed="false">
      <c r="A82" s="7" t="s">
        <v>945</v>
      </c>
      <c r="B82" s="7" t="s">
        <v>646</v>
      </c>
      <c r="C82" s="7" t="s">
        <v>946</v>
      </c>
      <c r="D82" s="7" t="s">
        <v>558</v>
      </c>
      <c r="E82" s="7" t="s">
        <v>947</v>
      </c>
      <c r="F82" s="7" t="s">
        <v>713</v>
      </c>
    </row>
    <row r="83" customFormat="false" ht="15" hidden="false" customHeight="true" outlineLevel="0" collapsed="false">
      <c r="A83" s="8" t="s">
        <v>948</v>
      </c>
      <c r="B83" s="8" t="s">
        <v>949</v>
      </c>
      <c r="C83" s="8" t="s">
        <v>950</v>
      </c>
      <c r="D83" s="8"/>
      <c r="E83" s="8" t="s">
        <v>951</v>
      </c>
      <c r="F83" s="8"/>
    </row>
    <row r="84" customFormat="false" ht="15" hidden="false" customHeight="true" outlineLevel="0" collapsed="false">
      <c r="A84" s="8" t="s">
        <v>952</v>
      </c>
      <c r="B84" s="8" t="s">
        <v>953</v>
      </c>
      <c r="C84" s="8" t="s">
        <v>954</v>
      </c>
      <c r="D84" s="8"/>
      <c r="E84" s="8"/>
      <c r="F84" s="8"/>
    </row>
    <row r="85" customFormat="false" ht="15" hidden="false" customHeight="true" outlineLevel="0" collapsed="false">
      <c r="A85" s="8" t="s">
        <v>955</v>
      </c>
      <c r="B85" s="8" t="s">
        <v>956</v>
      </c>
      <c r="C85" s="8" t="s">
        <v>957</v>
      </c>
      <c r="D85" s="8" t="s">
        <v>958</v>
      </c>
      <c r="E85" s="8"/>
      <c r="F85" s="8"/>
    </row>
    <row r="86" customFormat="false" ht="15" hidden="false" customHeight="true" outlineLevel="0" collapsed="false">
      <c r="A86" s="8" t="s">
        <v>959</v>
      </c>
      <c r="B86" s="8" t="s">
        <v>960</v>
      </c>
      <c r="C86" s="8" t="s">
        <v>919</v>
      </c>
      <c r="D86" s="8"/>
      <c r="E86" s="8"/>
      <c r="F86" s="8"/>
    </row>
    <row r="87" customFormat="false" ht="15" hidden="false" customHeight="true" outlineLevel="0" collapsed="false">
      <c r="A87" s="8" t="s">
        <v>961</v>
      </c>
      <c r="B87" s="8" t="s">
        <v>962</v>
      </c>
      <c r="C87" s="8" t="s">
        <v>914</v>
      </c>
      <c r="D87" s="8"/>
      <c r="E87" s="8"/>
      <c r="F87" s="8"/>
    </row>
    <row r="88" customFormat="false" ht="15" hidden="false" customHeight="true" outlineLevel="0" collapsed="false">
      <c r="A88" s="8" t="s">
        <v>963</v>
      </c>
      <c r="B88" s="8" t="s">
        <v>964</v>
      </c>
      <c r="C88" s="8" t="s">
        <v>924</v>
      </c>
      <c r="D88" s="8"/>
      <c r="E88" s="8"/>
      <c r="F88" s="8"/>
    </row>
    <row r="89" customFormat="false" ht="15" hidden="false" customHeight="true" outlineLevel="0" collapsed="false">
      <c r="A89" s="8" t="s">
        <v>965</v>
      </c>
      <c r="B89" s="8" t="s">
        <v>966</v>
      </c>
      <c r="C89" s="8" t="s">
        <v>967</v>
      </c>
      <c r="D89" s="8" t="s">
        <v>968</v>
      </c>
      <c r="E89" s="8"/>
      <c r="F89" s="8"/>
    </row>
    <row r="90" customFormat="false" ht="15" hidden="false" customHeight="true" outlineLevel="0" collapsed="false">
      <c r="A90" s="8" t="s">
        <v>969</v>
      </c>
      <c r="B90" s="8" t="s">
        <v>970</v>
      </c>
      <c r="C90" s="8" t="s">
        <v>971</v>
      </c>
      <c r="D90" s="8"/>
      <c r="E90" s="8"/>
      <c r="F90" s="8"/>
    </row>
    <row r="91" customFormat="false" ht="15" hidden="false" customHeight="true" outlineLevel="0" collapsed="false">
      <c r="A91" s="8" t="s">
        <v>972</v>
      </c>
      <c r="B91" s="8" t="s">
        <v>973</v>
      </c>
      <c r="C91" s="8" t="s">
        <v>909</v>
      </c>
      <c r="D91" s="8"/>
      <c r="E91" s="8"/>
      <c r="F91" s="8"/>
    </row>
    <row r="92" customFormat="false" ht="15" hidden="false" customHeight="true" outlineLevel="0" collapsed="false">
      <c r="A92" s="8" t="s">
        <v>974</v>
      </c>
      <c r="B92" s="8" t="s">
        <v>975</v>
      </c>
      <c r="C92" s="8" t="s">
        <v>976</v>
      </c>
      <c r="D92" s="8"/>
      <c r="E92" s="8"/>
      <c r="F92" s="8"/>
    </row>
    <row r="93" customFormat="false" ht="15" hidden="false" customHeight="true" outlineLevel="0" collapsed="false">
      <c r="A93" s="8" t="s">
        <v>977</v>
      </c>
      <c r="B93" s="8" t="s">
        <v>978</v>
      </c>
      <c r="C93" s="8" t="s">
        <v>979</v>
      </c>
      <c r="D93" s="8"/>
      <c r="E93" s="8"/>
      <c r="F93" s="8"/>
    </row>
    <row r="94" customFormat="false" ht="15" hidden="false" customHeight="true" outlineLevel="0" collapsed="false">
      <c r="A94" s="8" t="s">
        <v>980</v>
      </c>
      <c r="B94" s="8" t="s">
        <v>981</v>
      </c>
      <c r="C94" s="8" t="s">
        <v>982</v>
      </c>
      <c r="D94" s="8"/>
      <c r="E94" s="8"/>
      <c r="F94" s="8"/>
    </row>
    <row r="95" customFormat="false" ht="15" hidden="false" customHeight="true" outlineLevel="0" collapsed="false">
      <c r="A95" s="8" t="s">
        <v>983</v>
      </c>
      <c r="B95" s="8" t="s">
        <v>984</v>
      </c>
      <c r="C95" s="8" t="s">
        <v>985</v>
      </c>
      <c r="D95" s="8"/>
      <c r="E95" s="8"/>
      <c r="F95" s="8"/>
    </row>
    <row r="96" customFormat="false" ht="15" hidden="false" customHeight="true" outlineLevel="0" collapsed="false">
      <c r="A96" s="8" t="s">
        <v>986</v>
      </c>
      <c r="B96" s="8" t="s">
        <v>987</v>
      </c>
      <c r="C96" s="8" t="s">
        <v>988</v>
      </c>
      <c r="D96" s="8"/>
      <c r="E96" s="8"/>
      <c r="F96" s="8"/>
    </row>
    <row r="98" customFormat="false" ht="15" hidden="false" customHeight="true" outlineLevel="0" collapsed="false">
      <c r="A98" s="15" t="s">
        <v>989</v>
      </c>
      <c r="B98" s="15"/>
      <c r="C98" s="15"/>
      <c r="D98" s="15"/>
      <c r="E98" s="15"/>
      <c r="F98" s="15"/>
    </row>
    <row r="100" customFormat="false" ht="15" hidden="false" customHeight="true" outlineLevel="0" collapsed="false">
      <c r="A100" s="14" t="s">
        <v>990</v>
      </c>
    </row>
    <row r="101" customFormat="false" ht="15" hidden="false" customHeight="true" outlineLevel="0" collapsed="false">
      <c r="A101" s="7" t="s">
        <v>991</v>
      </c>
      <c r="B101" s="7" t="s">
        <v>992</v>
      </c>
      <c r="C101" s="7" t="s">
        <v>993</v>
      </c>
      <c r="D101" s="7" t="s">
        <v>994</v>
      </c>
      <c r="E101" s="7" t="s">
        <v>558</v>
      </c>
      <c r="F101" s="7" t="s">
        <v>995</v>
      </c>
    </row>
    <row r="102" customFormat="false" ht="23.25" hidden="false" customHeight="true" outlineLevel="0" collapsed="false">
      <c r="A102" s="8" t="s">
        <v>996</v>
      </c>
      <c r="B102" s="8" t="s">
        <v>997</v>
      </c>
      <c r="C102" s="8" t="s">
        <v>998</v>
      </c>
      <c r="D102" s="8" t="s">
        <v>151</v>
      </c>
      <c r="E102" s="8" t="s">
        <v>999</v>
      </c>
      <c r="F102" s="8" t="s">
        <v>1000</v>
      </c>
    </row>
    <row r="103" customFormat="false" ht="23.25" hidden="false" customHeight="true" outlineLevel="0" collapsed="false">
      <c r="A103" s="8" t="s">
        <v>1001</v>
      </c>
      <c r="B103" s="8" t="s">
        <v>1002</v>
      </c>
      <c r="C103" s="8" t="s">
        <v>1003</v>
      </c>
      <c r="D103" s="8" t="s">
        <v>1004</v>
      </c>
      <c r="E103" s="8" t="s">
        <v>1005</v>
      </c>
      <c r="F103" s="8" t="s">
        <v>1006</v>
      </c>
    </row>
    <row r="104" customFormat="false" ht="15" hidden="false" customHeight="true" outlineLevel="0" collapsed="false">
      <c r="A104" s="8" t="s">
        <v>1001</v>
      </c>
      <c r="B104" s="8" t="s">
        <v>1007</v>
      </c>
      <c r="C104" s="8" t="s">
        <v>1003</v>
      </c>
      <c r="D104" s="8" t="s">
        <v>1008</v>
      </c>
      <c r="E104" s="8" t="s">
        <v>1009</v>
      </c>
      <c r="F104" s="8" t="s">
        <v>1006</v>
      </c>
    </row>
    <row r="105" customFormat="false" ht="15" hidden="false" customHeight="true" outlineLevel="0" collapsed="false">
      <c r="A105" s="8" t="s">
        <v>1001</v>
      </c>
      <c r="B105" s="8" t="s">
        <v>1010</v>
      </c>
      <c r="C105" s="8" t="s">
        <v>1011</v>
      </c>
      <c r="D105" s="8" t="s">
        <v>1012</v>
      </c>
      <c r="E105" s="8" t="s">
        <v>1013</v>
      </c>
      <c r="F105" s="8" t="s">
        <v>1014</v>
      </c>
    </row>
    <row r="106" customFormat="false" ht="15" hidden="false" customHeight="true" outlineLevel="0" collapsed="false">
      <c r="A106" s="8" t="s">
        <v>1001</v>
      </c>
      <c r="B106" s="8" t="s">
        <v>1015</v>
      </c>
      <c r="C106" s="8" t="s">
        <v>1016</v>
      </c>
      <c r="D106" s="8" t="s">
        <v>1017</v>
      </c>
      <c r="E106" s="8"/>
      <c r="F106" s="8" t="s">
        <v>1006</v>
      </c>
    </row>
    <row r="107" customFormat="false" ht="15" hidden="false" customHeight="true" outlineLevel="0" collapsed="false">
      <c r="A107" s="8" t="s">
        <v>1001</v>
      </c>
      <c r="B107" s="8" t="s">
        <v>1018</v>
      </c>
      <c r="C107" s="8" t="s">
        <v>1011</v>
      </c>
      <c r="D107" s="8" t="s">
        <v>1019</v>
      </c>
      <c r="E107" s="8"/>
      <c r="F107" s="8" t="s">
        <v>1014</v>
      </c>
    </row>
    <row r="108" customFormat="false" ht="15" hidden="false" customHeight="true" outlineLevel="0" collapsed="false">
      <c r="A108" s="8" t="s">
        <v>1001</v>
      </c>
      <c r="B108" s="8" t="s">
        <v>1020</v>
      </c>
      <c r="C108" s="8" t="s">
        <v>1003</v>
      </c>
      <c r="D108" s="8" t="s">
        <v>1021</v>
      </c>
      <c r="E108" s="8" t="s">
        <v>1022</v>
      </c>
      <c r="F108" s="8" t="s">
        <v>1006</v>
      </c>
    </row>
    <row r="109" customFormat="false" ht="15" hidden="false" customHeight="true" outlineLevel="0" collapsed="false">
      <c r="A109" s="8" t="s">
        <v>1001</v>
      </c>
      <c r="B109" s="8" t="s">
        <v>1023</v>
      </c>
      <c r="C109" s="8" t="s">
        <v>1011</v>
      </c>
      <c r="D109" s="8" t="s">
        <v>1024</v>
      </c>
      <c r="E109" s="8" t="s">
        <v>1025</v>
      </c>
      <c r="F109" s="8" t="s">
        <v>1014</v>
      </c>
    </row>
    <row r="110" customFormat="false" ht="23.25" hidden="false" customHeight="true" outlineLevel="0" collapsed="false">
      <c r="A110" s="8" t="s">
        <v>1026</v>
      </c>
      <c r="B110" s="8"/>
      <c r="C110" s="8"/>
      <c r="D110" s="8"/>
      <c r="E110" s="8" t="s">
        <v>1027</v>
      </c>
      <c r="F110" s="8" t="s">
        <v>1028</v>
      </c>
    </row>
    <row r="111" customFormat="false" ht="15" hidden="false" customHeight="true" outlineLevel="0" collapsed="false">
      <c r="A111" s="8" t="s">
        <v>1029</v>
      </c>
      <c r="B111" s="8" t="s">
        <v>1030</v>
      </c>
      <c r="C111" s="8" t="s">
        <v>1031</v>
      </c>
      <c r="D111" s="8" t="s">
        <v>1032</v>
      </c>
      <c r="E111" s="8" t="s">
        <v>1033</v>
      </c>
      <c r="F111" s="8" t="s">
        <v>1034</v>
      </c>
    </row>
    <row r="112" customFormat="false" ht="23.25" hidden="false" customHeight="true" outlineLevel="0" collapsed="false">
      <c r="A112" s="8" t="s">
        <v>1035</v>
      </c>
      <c r="B112" s="8" t="s">
        <v>1036</v>
      </c>
      <c r="C112" s="8" t="s">
        <v>1037</v>
      </c>
      <c r="D112" s="8"/>
      <c r="E112" s="8" t="s">
        <v>1038</v>
      </c>
      <c r="F112" s="8" t="s">
        <v>1039</v>
      </c>
    </row>
    <row r="113" customFormat="false" ht="15" hidden="false" customHeight="true" outlineLevel="0" collapsed="false">
      <c r="A113" s="8" t="s">
        <v>1040</v>
      </c>
      <c r="B113" s="8" t="s">
        <v>1041</v>
      </c>
      <c r="C113" s="8" t="s">
        <v>1042</v>
      </c>
      <c r="D113" s="8"/>
      <c r="E113" s="8" t="s">
        <v>1043</v>
      </c>
      <c r="F113" s="8" t="s">
        <v>1044</v>
      </c>
    </row>
    <row r="114" customFormat="false" ht="15" hidden="false" customHeight="true" outlineLevel="0" collapsed="false">
      <c r="A114" s="8" t="s">
        <v>1045</v>
      </c>
      <c r="B114" s="8" t="s">
        <v>1046</v>
      </c>
      <c r="C114" s="8" t="s">
        <v>1037</v>
      </c>
      <c r="D114" s="8" t="s">
        <v>1047</v>
      </c>
      <c r="E114" s="8" t="s">
        <v>1048</v>
      </c>
      <c r="F114" s="8" t="s">
        <v>1039</v>
      </c>
    </row>
    <row r="115" customFormat="false" ht="15" hidden="false" customHeight="true" outlineLevel="0" collapsed="false">
      <c r="A115" s="8" t="s">
        <v>1049</v>
      </c>
      <c r="B115" s="8" t="s">
        <v>1050</v>
      </c>
      <c r="C115" s="8" t="s">
        <v>1011</v>
      </c>
      <c r="D115" s="8"/>
      <c r="E115" s="8" t="s">
        <v>1051</v>
      </c>
      <c r="F115" s="8" t="s">
        <v>1052</v>
      </c>
    </row>
    <row r="117" customFormat="false" ht="15" hidden="false" customHeight="true" outlineLevel="0" collapsed="false">
      <c r="A117" s="14" t="s">
        <v>1053</v>
      </c>
    </row>
    <row r="118" customFormat="false" ht="15" hidden="false" customHeight="true" outlineLevel="0" collapsed="false">
      <c r="A118" s="7" t="s">
        <v>314</v>
      </c>
      <c r="B118" s="7" t="s">
        <v>1054</v>
      </c>
      <c r="C118" s="7"/>
      <c r="D118" s="7" t="s">
        <v>1055</v>
      </c>
      <c r="E118" s="7" t="s">
        <v>1056</v>
      </c>
      <c r="F118" s="7" t="s">
        <v>713</v>
      </c>
    </row>
    <row r="119" customFormat="false" ht="57" hidden="false" customHeight="true" outlineLevel="0" collapsed="false">
      <c r="A119" s="8" t="s">
        <v>1057</v>
      </c>
      <c r="B119" s="8" t="s">
        <v>1058</v>
      </c>
      <c r="C119" s="8"/>
      <c r="D119" s="8" t="s">
        <v>1059</v>
      </c>
      <c r="E119" s="8" t="s">
        <v>1060</v>
      </c>
      <c r="F119" s="8" t="s">
        <v>570</v>
      </c>
    </row>
    <row r="120" customFormat="false" ht="34.5" hidden="false" customHeight="true" outlineLevel="0" collapsed="false">
      <c r="A120" s="8" t="s">
        <v>1061</v>
      </c>
      <c r="B120" s="8" t="s">
        <v>1062</v>
      </c>
      <c r="C120" s="8"/>
      <c r="D120" s="8" t="s">
        <v>1063</v>
      </c>
      <c r="E120" s="8" t="s">
        <v>1064</v>
      </c>
      <c r="F120" s="8" t="s">
        <v>566</v>
      </c>
    </row>
    <row r="121" customFormat="false" ht="34.5" hidden="false" customHeight="true" outlineLevel="0" collapsed="false">
      <c r="A121" s="8" t="s">
        <v>1065</v>
      </c>
      <c r="B121" s="8" t="s">
        <v>1066</v>
      </c>
      <c r="C121" s="8"/>
      <c r="D121" s="8" t="s">
        <v>1067</v>
      </c>
      <c r="E121" s="8" t="s">
        <v>1068</v>
      </c>
      <c r="F121" s="8" t="s">
        <v>626</v>
      </c>
    </row>
    <row r="122" customFormat="false" ht="45.75" hidden="false" customHeight="true" outlineLevel="0" collapsed="false">
      <c r="A122" s="8" t="s">
        <v>1069</v>
      </c>
      <c r="B122" s="8" t="s">
        <v>1070</v>
      </c>
      <c r="C122" s="8"/>
      <c r="D122" s="8" t="s">
        <v>1071</v>
      </c>
      <c r="E122" s="8" t="s">
        <v>1072</v>
      </c>
      <c r="F122" s="8" t="s">
        <v>570</v>
      </c>
    </row>
    <row r="123" customFormat="false" ht="34.5" hidden="false" customHeight="true" outlineLevel="0" collapsed="false">
      <c r="A123" s="8" t="s">
        <v>1073</v>
      </c>
      <c r="B123" s="8" t="s">
        <v>1074</v>
      </c>
      <c r="C123" s="8"/>
      <c r="D123" s="8" t="s">
        <v>1075</v>
      </c>
      <c r="E123" s="8" t="s">
        <v>1076</v>
      </c>
      <c r="F123" s="8" t="s">
        <v>582</v>
      </c>
    </row>
    <row r="124" customFormat="false" ht="34.5" hidden="false" customHeight="true" outlineLevel="0" collapsed="false">
      <c r="A124" s="8" t="s">
        <v>1077</v>
      </c>
      <c r="B124" s="8" t="s">
        <v>1078</v>
      </c>
      <c r="C124" s="8"/>
      <c r="D124" s="8" t="s">
        <v>1079</v>
      </c>
      <c r="E124" s="8" t="s">
        <v>1080</v>
      </c>
      <c r="F124" s="8" t="s">
        <v>869</v>
      </c>
    </row>
    <row r="125" customFormat="false" ht="23.25" hidden="false" customHeight="true" outlineLevel="0" collapsed="false">
      <c r="A125" s="8" t="s">
        <v>1081</v>
      </c>
      <c r="B125" s="8" t="s">
        <v>1082</v>
      </c>
      <c r="C125" s="8"/>
      <c r="D125" s="8" t="s">
        <v>1083</v>
      </c>
      <c r="E125" s="8" t="s">
        <v>870</v>
      </c>
      <c r="F125" s="8" t="s">
        <v>586</v>
      </c>
    </row>
    <row r="126" customFormat="false" ht="23.25" hidden="false" customHeight="true" outlineLevel="0" collapsed="false">
      <c r="A126" s="8" t="s">
        <v>1084</v>
      </c>
      <c r="B126" s="8" t="s">
        <v>1085</v>
      </c>
      <c r="C126" s="8"/>
      <c r="D126" s="8" t="s">
        <v>1086</v>
      </c>
      <c r="E126" s="8" t="s">
        <v>818</v>
      </c>
      <c r="F126" s="8" t="s">
        <v>566</v>
      </c>
    </row>
    <row r="128" customFormat="false" ht="15" hidden="false" customHeight="true" outlineLevel="0" collapsed="false">
      <c r="A128" s="14" t="s">
        <v>1087</v>
      </c>
    </row>
    <row r="129" customFormat="false" ht="15" hidden="false" customHeight="true" outlineLevel="0" collapsed="false">
      <c r="A129" s="7" t="s">
        <v>1088</v>
      </c>
      <c r="B129" s="7" t="s">
        <v>1089</v>
      </c>
      <c r="C129" s="7" t="s">
        <v>1090</v>
      </c>
      <c r="D129" s="7" t="s">
        <v>1091</v>
      </c>
      <c r="E129" s="7" t="s">
        <v>1092</v>
      </c>
      <c r="F129" s="7" t="s">
        <v>36</v>
      </c>
    </row>
    <row r="130" customFormat="false" ht="34.5" hidden="false" customHeight="true" outlineLevel="0" collapsed="false">
      <c r="A130" s="8" t="s">
        <v>1093</v>
      </c>
      <c r="B130" s="8" t="s">
        <v>1094</v>
      </c>
      <c r="C130" s="8" t="s">
        <v>1095</v>
      </c>
      <c r="D130" s="8" t="s">
        <v>1096</v>
      </c>
      <c r="E130" s="8" t="s">
        <v>151</v>
      </c>
      <c r="F130" s="8" t="s">
        <v>1097</v>
      </c>
    </row>
    <row r="131" customFormat="false" ht="23.25" hidden="false" customHeight="true" outlineLevel="0" collapsed="false">
      <c r="A131" s="8" t="s">
        <v>1098</v>
      </c>
      <c r="B131" s="8" t="s">
        <v>1099</v>
      </c>
      <c r="C131" s="8" t="s">
        <v>1095</v>
      </c>
      <c r="D131" s="8" t="s">
        <v>1100</v>
      </c>
      <c r="E131" s="8" t="s">
        <v>281</v>
      </c>
      <c r="F131" s="8" t="s">
        <v>1101</v>
      </c>
    </row>
    <row r="132" customFormat="false" ht="23.25" hidden="false" customHeight="true" outlineLevel="0" collapsed="false">
      <c r="A132" s="8" t="s">
        <v>1102</v>
      </c>
      <c r="B132" s="8" t="s">
        <v>1103</v>
      </c>
      <c r="C132" s="8" t="s">
        <v>1104</v>
      </c>
      <c r="D132" s="8" t="s">
        <v>1105</v>
      </c>
      <c r="E132" s="8" t="s">
        <v>578</v>
      </c>
      <c r="F132" s="8" t="s">
        <v>197</v>
      </c>
    </row>
    <row r="133" customFormat="false" ht="23.25" hidden="false" customHeight="true" outlineLevel="0" collapsed="false">
      <c r="A133" s="8" t="s">
        <v>1106</v>
      </c>
      <c r="B133" s="8" t="s">
        <v>1107</v>
      </c>
      <c r="C133" s="8" t="s">
        <v>1104</v>
      </c>
      <c r="D133" s="8" t="s">
        <v>1108</v>
      </c>
      <c r="E133" s="8" t="s">
        <v>740</v>
      </c>
      <c r="F133" s="8" t="s">
        <v>197</v>
      </c>
    </row>
    <row r="134" customFormat="false" ht="23.25" hidden="false" customHeight="true" outlineLevel="0" collapsed="false">
      <c r="A134" s="8" t="s">
        <v>1109</v>
      </c>
      <c r="B134" s="8" t="s">
        <v>1110</v>
      </c>
      <c r="C134" s="8" t="s">
        <v>1111</v>
      </c>
      <c r="D134" s="8" t="s">
        <v>1112</v>
      </c>
      <c r="E134" s="8" t="s">
        <v>1113</v>
      </c>
      <c r="F134" s="8" t="s">
        <v>197</v>
      </c>
    </row>
    <row r="135" customFormat="false" ht="15" hidden="false" customHeight="true" outlineLevel="0" collapsed="false">
      <c r="A135" s="8" t="s">
        <v>1114</v>
      </c>
      <c r="B135" s="8" t="s">
        <v>1115</v>
      </c>
      <c r="C135" s="8" t="s">
        <v>1116</v>
      </c>
      <c r="D135" s="8" t="s">
        <v>1117</v>
      </c>
      <c r="E135" s="8" t="s">
        <v>1118</v>
      </c>
      <c r="F135" s="8" t="s">
        <v>197</v>
      </c>
    </row>
    <row r="136" customFormat="false" ht="34.5" hidden="false" customHeight="true" outlineLevel="0" collapsed="false">
      <c r="A136" s="8" t="s">
        <v>1119</v>
      </c>
      <c r="B136" s="8" t="s">
        <v>1120</v>
      </c>
      <c r="C136" s="8" t="s">
        <v>1121</v>
      </c>
      <c r="D136" s="8" t="s">
        <v>1122</v>
      </c>
      <c r="E136" s="8" t="s">
        <v>1123</v>
      </c>
      <c r="F136" s="8" t="s">
        <v>1124</v>
      </c>
    </row>
    <row r="137" customFormat="false" ht="23.25" hidden="false" customHeight="true" outlineLevel="0" collapsed="false">
      <c r="A137" s="8" t="s">
        <v>1125</v>
      </c>
      <c r="B137" s="8" t="s">
        <v>1126</v>
      </c>
      <c r="C137" s="8" t="s">
        <v>1127</v>
      </c>
      <c r="D137" s="8" t="s">
        <v>1128</v>
      </c>
      <c r="E137" s="8" t="s">
        <v>570</v>
      </c>
      <c r="F137" s="8" t="s">
        <v>1129</v>
      </c>
    </row>
    <row r="138" customFormat="false" ht="23.25" hidden="false" customHeight="true" outlineLevel="0" collapsed="false">
      <c r="A138" s="8" t="s">
        <v>1130</v>
      </c>
      <c r="B138" s="8" t="s">
        <v>1131</v>
      </c>
      <c r="C138" s="8" t="s">
        <v>1132</v>
      </c>
      <c r="D138" s="8" t="s">
        <v>1133</v>
      </c>
      <c r="E138" s="8" t="s">
        <v>151</v>
      </c>
      <c r="F138" s="8" t="s">
        <v>1129</v>
      </c>
    </row>
    <row r="139" customFormat="false" ht="23.25" hidden="false" customHeight="true" outlineLevel="0" collapsed="false">
      <c r="A139" s="8" t="s">
        <v>1134</v>
      </c>
      <c r="B139" s="8" t="s">
        <v>1135</v>
      </c>
      <c r="C139" s="8" t="s">
        <v>1136</v>
      </c>
      <c r="D139" s="8" t="s">
        <v>1137</v>
      </c>
      <c r="E139" s="8" t="s">
        <v>1138</v>
      </c>
      <c r="F139" s="8" t="s">
        <v>1129</v>
      </c>
    </row>
  </sheetData>
  <mergeCells count="8">
    <mergeCell ref="A2:F2"/>
    <mergeCell ref="A35:F35"/>
    <mergeCell ref="A37:F37"/>
    <mergeCell ref="A41:F41"/>
    <mergeCell ref="A46:F46"/>
    <mergeCell ref="A54:F54"/>
    <mergeCell ref="A65:F65"/>
    <mergeCell ref="A98:F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6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52"/>
    <col collapsed="false" customWidth="true" hidden="false" outlineLevel="0" max="8" min="8" style="1" width="12"/>
  </cols>
  <sheetData>
    <row r="1" customFormat="false" ht="15" hidden="false" customHeight="true" outlineLevel="0" collapsed="false">
      <c r="A1" s="7" t="s">
        <v>28</v>
      </c>
      <c r="B1" s="7" t="s">
        <v>1139</v>
      </c>
      <c r="C1" s="7" t="s">
        <v>1089</v>
      </c>
      <c r="D1" s="7" t="s">
        <v>1140</v>
      </c>
      <c r="E1" s="7" t="s">
        <v>1141</v>
      </c>
      <c r="F1" s="7" t="s">
        <v>1142</v>
      </c>
      <c r="G1" s="7" t="s">
        <v>1143</v>
      </c>
      <c r="H1" s="7" t="s">
        <v>36</v>
      </c>
    </row>
    <row r="2" customFormat="false" ht="34.5" hidden="false" customHeight="true" outlineLevel="0" collapsed="false">
      <c r="A2" s="8" t="s">
        <v>299</v>
      </c>
      <c r="B2" s="8" t="s">
        <v>1144</v>
      </c>
      <c r="C2" s="8" t="s">
        <v>1145</v>
      </c>
      <c r="D2" s="8" t="s">
        <v>1146</v>
      </c>
      <c r="E2" s="8" t="s">
        <v>1147</v>
      </c>
      <c r="F2" s="8" t="s">
        <v>1148</v>
      </c>
      <c r="G2" s="8" t="s">
        <v>1149</v>
      </c>
      <c r="H2" s="8" t="s">
        <v>1150</v>
      </c>
    </row>
    <row r="3" customFormat="false" ht="34.5" hidden="false" customHeight="true" outlineLevel="0" collapsed="false">
      <c r="A3" s="8" t="s">
        <v>1151</v>
      </c>
      <c r="B3" s="8" t="s">
        <v>1152</v>
      </c>
      <c r="C3" s="8" t="s">
        <v>1153</v>
      </c>
      <c r="D3" s="8" t="s">
        <v>1154</v>
      </c>
      <c r="E3" s="8" t="s">
        <v>1147</v>
      </c>
      <c r="F3" s="8" t="s">
        <v>1155</v>
      </c>
      <c r="G3" s="8" t="s">
        <v>1156</v>
      </c>
      <c r="H3" s="8" t="s">
        <v>197</v>
      </c>
    </row>
    <row r="4" customFormat="false" ht="23.25" hidden="false" customHeight="true" outlineLevel="0" collapsed="false">
      <c r="A4" s="8" t="s">
        <v>1157</v>
      </c>
      <c r="B4" s="8" t="s">
        <v>1158</v>
      </c>
      <c r="C4" s="8" t="s">
        <v>1159</v>
      </c>
      <c r="D4" s="8" t="s">
        <v>1160</v>
      </c>
      <c r="E4" s="8" t="s">
        <v>1147</v>
      </c>
      <c r="F4" s="8" t="s">
        <v>1161</v>
      </c>
      <c r="G4" s="8" t="s">
        <v>1162</v>
      </c>
      <c r="H4" s="8" t="s">
        <v>197</v>
      </c>
    </row>
    <row r="5" customFormat="false" ht="34.5" hidden="false" customHeight="true" outlineLevel="0" collapsed="false">
      <c r="A5" s="8" t="s">
        <v>1163</v>
      </c>
      <c r="B5" s="8" t="s">
        <v>1164</v>
      </c>
      <c r="C5" s="8" t="s">
        <v>1165</v>
      </c>
      <c r="D5" s="8" t="s">
        <v>1166</v>
      </c>
      <c r="E5" s="8" t="s">
        <v>1147</v>
      </c>
      <c r="F5" s="8" t="s">
        <v>859</v>
      </c>
      <c r="G5" s="8" t="s">
        <v>1167</v>
      </c>
      <c r="H5" s="8" t="s">
        <v>197</v>
      </c>
    </row>
    <row r="6" customFormat="false" ht="34.5" hidden="false" customHeight="true" outlineLevel="0" collapsed="false">
      <c r="A6" s="8" t="s">
        <v>1168</v>
      </c>
      <c r="B6" s="8" t="s">
        <v>1169</v>
      </c>
      <c r="C6" s="8" t="s">
        <v>1170</v>
      </c>
      <c r="D6" s="8" t="s">
        <v>1171</v>
      </c>
      <c r="E6" s="8" t="s">
        <v>1147</v>
      </c>
      <c r="F6" s="8" t="s">
        <v>1172</v>
      </c>
      <c r="G6" s="8" t="s">
        <v>1173</v>
      </c>
      <c r="H6" s="8" t="s">
        <v>197</v>
      </c>
    </row>
    <row r="7" customFormat="false" ht="23.25" hidden="false" customHeight="true" outlineLevel="0" collapsed="false">
      <c r="A7" s="8" t="s">
        <v>1174</v>
      </c>
      <c r="B7" s="8" t="s">
        <v>1175</v>
      </c>
      <c r="C7" s="8" t="s">
        <v>1176</v>
      </c>
      <c r="D7" s="8" t="s">
        <v>1177</v>
      </c>
      <c r="E7" s="8" t="s">
        <v>1178</v>
      </c>
      <c r="F7" s="8" t="s">
        <v>1179</v>
      </c>
      <c r="G7" s="8" t="s">
        <v>1180</v>
      </c>
      <c r="H7" s="8" t="s">
        <v>197</v>
      </c>
    </row>
    <row r="8" customFormat="false" ht="15" hidden="false" customHeight="true" outlineLevel="0" collapsed="false">
      <c r="A8" s="8" t="s">
        <v>1181</v>
      </c>
      <c r="B8" s="8" t="s">
        <v>1158</v>
      </c>
      <c r="C8" s="8" t="s">
        <v>1182</v>
      </c>
      <c r="D8" s="8" t="s">
        <v>1183</v>
      </c>
      <c r="E8" s="8" t="s">
        <v>1116</v>
      </c>
      <c r="F8" s="8" t="s">
        <v>1118</v>
      </c>
      <c r="G8" s="8" t="s">
        <v>1184</v>
      </c>
      <c r="H8" s="8" t="s">
        <v>197</v>
      </c>
    </row>
    <row r="9" customFormat="false" ht="23.25" hidden="false" customHeight="true" outlineLevel="0" collapsed="false">
      <c r="A9" s="8" t="s">
        <v>1185</v>
      </c>
      <c r="B9" s="8" t="s">
        <v>1186</v>
      </c>
      <c r="C9" s="8" t="s">
        <v>1187</v>
      </c>
      <c r="D9" s="8" t="s">
        <v>1188</v>
      </c>
      <c r="E9" s="8" t="s">
        <v>1189</v>
      </c>
      <c r="F9" s="8" t="s">
        <v>151</v>
      </c>
      <c r="G9" s="8" t="s">
        <v>1190</v>
      </c>
      <c r="H9" s="8" t="s">
        <v>197</v>
      </c>
    </row>
    <row r="10" customFormat="false" ht="34.5" hidden="false" customHeight="true" outlineLevel="0" collapsed="false">
      <c r="A10" s="8" t="s">
        <v>1191</v>
      </c>
      <c r="B10" s="8"/>
      <c r="C10" s="8" t="s">
        <v>1192</v>
      </c>
      <c r="D10" s="8" t="s">
        <v>1193</v>
      </c>
      <c r="E10" s="8" t="s">
        <v>1194</v>
      </c>
      <c r="F10" s="8" t="s">
        <v>1195</v>
      </c>
      <c r="G10" s="8" t="s">
        <v>1196</v>
      </c>
      <c r="H10" s="8" t="s">
        <v>1129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50"/>
    <col collapsed="false" customWidth="true" hidden="false" outlineLevel="0" max="6" min="6" style="1" width="70"/>
    <col collapsed="false" customWidth="true" hidden="false" outlineLevel="0" max="7" min="7" style="1" width="26"/>
  </cols>
  <sheetData>
    <row r="1" customFormat="false" ht="23.25" hidden="false" customHeight="true" outlineLevel="0" collapsed="false">
      <c r="A1" s="7" t="s">
        <v>27</v>
      </c>
      <c r="B1" s="7" t="s">
        <v>1197</v>
      </c>
      <c r="C1" s="7" t="s">
        <v>993</v>
      </c>
      <c r="D1" s="7" t="s">
        <v>1198</v>
      </c>
      <c r="E1" s="7" t="s">
        <v>1199</v>
      </c>
      <c r="F1" s="7" t="s">
        <v>1200</v>
      </c>
      <c r="G1" s="7" t="s">
        <v>1201</v>
      </c>
    </row>
    <row r="2" customFormat="false" ht="45.75" hidden="false" customHeight="true" outlineLevel="0" collapsed="false">
      <c r="A2" s="8" t="s">
        <v>1202</v>
      </c>
      <c r="B2" s="8" t="s">
        <v>1203</v>
      </c>
      <c r="C2" s="8" t="s">
        <v>116</v>
      </c>
      <c r="D2" s="8" t="s">
        <v>1204</v>
      </c>
      <c r="E2" s="8" t="s">
        <v>1205</v>
      </c>
      <c r="F2" s="8" t="s">
        <v>1206</v>
      </c>
      <c r="G2" s="8" t="s">
        <v>1207</v>
      </c>
    </row>
    <row r="3" customFormat="false" ht="23.25" hidden="false" customHeight="true" outlineLevel="0" collapsed="false">
      <c r="A3" s="8" t="s">
        <v>1208</v>
      </c>
      <c r="B3" s="8" t="s">
        <v>1209</v>
      </c>
      <c r="C3" s="8" t="s">
        <v>1210</v>
      </c>
      <c r="D3" s="8" t="s">
        <v>1211</v>
      </c>
      <c r="E3" s="8" t="s">
        <v>1212</v>
      </c>
      <c r="F3" s="8" t="s">
        <v>1213</v>
      </c>
      <c r="G3" s="8" t="s">
        <v>1207</v>
      </c>
    </row>
    <row r="4" customFormat="false" ht="45.75" hidden="false" customHeight="true" outlineLevel="0" collapsed="false">
      <c r="A4" s="8" t="s">
        <v>1214</v>
      </c>
      <c r="B4" s="8" t="s">
        <v>1215</v>
      </c>
      <c r="C4" s="8" t="s">
        <v>1216</v>
      </c>
      <c r="D4" s="8" t="s">
        <v>1211</v>
      </c>
      <c r="E4" s="8" t="s">
        <v>1217</v>
      </c>
      <c r="F4" s="8" t="s">
        <v>1218</v>
      </c>
      <c r="G4" s="8" t="s">
        <v>1207</v>
      </c>
    </row>
    <row r="5" customFormat="false" ht="34.5" hidden="false" customHeight="true" outlineLevel="0" collapsed="false">
      <c r="A5" s="8" t="s">
        <v>1219</v>
      </c>
      <c r="B5" s="8" t="s">
        <v>1220</v>
      </c>
      <c r="C5" s="8" t="s">
        <v>116</v>
      </c>
      <c r="D5" s="8" t="s">
        <v>1221</v>
      </c>
      <c r="E5" s="8" t="s">
        <v>1222</v>
      </c>
      <c r="F5" s="8" t="s">
        <v>1223</v>
      </c>
      <c r="G5" s="8" t="s">
        <v>1207</v>
      </c>
    </row>
    <row r="6" customFormat="false" ht="34.5" hidden="false" customHeight="true" outlineLevel="0" collapsed="false">
      <c r="A6" s="8" t="s">
        <v>1224</v>
      </c>
      <c r="B6" s="8" t="s">
        <v>1225</v>
      </c>
      <c r="C6" s="8" t="s">
        <v>1226</v>
      </c>
      <c r="D6" s="8" t="s">
        <v>1227</v>
      </c>
      <c r="E6" s="8" t="s">
        <v>1228</v>
      </c>
      <c r="F6" s="8" t="s">
        <v>1229</v>
      </c>
      <c r="G6" s="8" t="s">
        <v>1207</v>
      </c>
    </row>
    <row r="7" customFormat="false" ht="34.5" hidden="false" customHeight="true" outlineLevel="0" collapsed="false">
      <c r="A7" s="8" t="s">
        <v>1230</v>
      </c>
      <c r="B7" s="8" t="s">
        <v>1231</v>
      </c>
      <c r="C7" s="8" t="s">
        <v>116</v>
      </c>
      <c r="D7" s="8" t="s">
        <v>1232</v>
      </c>
      <c r="E7" s="8" t="s">
        <v>1233</v>
      </c>
      <c r="F7" s="8" t="s">
        <v>1234</v>
      </c>
      <c r="G7" s="8" t="s">
        <v>1207</v>
      </c>
    </row>
    <row r="8" customFormat="false" ht="45.75" hidden="false" customHeight="true" outlineLevel="0" collapsed="false">
      <c r="A8" s="8" t="s">
        <v>1235</v>
      </c>
      <c r="B8" s="8" t="s">
        <v>1236</v>
      </c>
      <c r="C8" s="8" t="s">
        <v>116</v>
      </c>
      <c r="D8" s="8" t="s">
        <v>1237</v>
      </c>
      <c r="E8" s="8" t="s">
        <v>1238</v>
      </c>
      <c r="F8" s="8" t="s">
        <v>1239</v>
      </c>
      <c r="G8" s="8" t="s">
        <v>1207</v>
      </c>
    </row>
    <row r="9" customFormat="false" ht="45.75" hidden="false" customHeight="true" outlineLevel="0" collapsed="false">
      <c r="A9" s="8" t="s">
        <v>1240</v>
      </c>
      <c r="B9" s="8" t="s">
        <v>1241</v>
      </c>
      <c r="C9" s="8" t="s">
        <v>1242</v>
      </c>
      <c r="D9" s="8" t="s">
        <v>1243</v>
      </c>
      <c r="E9" s="8" t="s">
        <v>1244</v>
      </c>
      <c r="F9" s="8" t="s">
        <v>1245</v>
      </c>
      <c r="G9" s="8" t="s">
        <v>1207</v>
      </c>
    </row>
    <row r="10" customFormat="false" ht="79.5" hidden="false" customHeight="true" outlineLevel="0" collapsed="false">
      <c r="A10" s="8" t="s">
        <v>1246</v>
      </c>
      <c r="B10" s="8" t="s">
        <v>1247</v>
      </c>
      <c r="C10" s="8" t="s">
        <v>1248</v>
      </c>
      <c r="D10" s="8" t="s">
        <v>1249</v>
      </c>
      <c r="E10" s="8" t="s">
        <v>1250</v>
      </c>
      <c r="F10" s="8" t="s">
        <v>1251</v>
      </c>
      <c r="G10" s="8" t="s">
        <v>1207</v>
      </c>
    </row>
    <row r="11" customFormat="false" ht="23.25" hidden="false" customHeight="true" outlineLevel="0" collapsed="false">
      <c r="A11" s="8" t="s">
        <v>1252</v>
      </c>
      <c r="B11" s="8" t="s">
        <v>1253</v>
      </c>
      <c r="C11" s="8" t="s">
        <v>1254</v>
      </c>
      <c r="D11" s="8" t="s">
        <v>1211</v>
      </c>
      <c r="E11" s="8" t="s">
        <v>1255</v>
      </c>
      <c r="F11" s="8" t="s">
        <v>1256</v>
      </c>
      <c r="G11" s="8" t="s">
        <v>1207</v>
      </c>
    </row>
    <row r="12" customFormat="false" ht="34.5" hidden="false" customHeight="true" outlineLevel="0" collapsed="false">
      <c r="A12" s="8" t="s">
        <v>1257</v>
      </c>
      <c r="B12" s="8" t="s">
        <v>1258</v>
      </c>
      <c r="C12" s="8" t="s">
        <v>1254</v>
      </c>
      <c r="D12" s="8" t="s">
        <v>1259</v>
      </c>
      <c r="E12" s="8" t="s">
        <v>1260</v>
      </c>
      <c r="F12" s="8" t="s">
        <v>1261</v>
      </c>
      <c r="G12" s="8" t="s">
        <v>1207</v>
      </c>
    </row>
    <row r="13" customFormat="false" ht="34.5" hidden="false" customHeight="true" outlineLevel="0" collapsed="false">
      <c r="A13" s="8" t="s">
        <v>1262</v>
      </c>
      <c r="B13" s="8" t="s">
        <v>1263</v>
      </c>
      <c r="C13" s="8" t="s">
        <v>1254</v>
      </c>
      <c r="D13" s="8" t="s">
        <v>1264</v>
      </c>
      <c r="E13" s="8" t="s">
        <v>1265</v>
      </c>
      <c r="F13" s="8" t="s">
        <v>1266</v>
      </c>
      <c r="G13" s="8" t="s">
        <v>1207</v>
      </c>
    </row>
    <row r="14" customFormat="false" ht="23.25" hidden="false" customHeight="true" outlineLevel="0" collapsed="false">
      <c r="A14" s="8" t="s">
        <v>1267</v>
      </c>
      <c r="B14" s="8" t="s">
        <v>1268</v>
      </c>
      <c r="C14" s="8" t="s">
        <v>1254</v>
      </c>
      <c r="D14" s="8" t="s">
        <v>1264</v>
      </c>
      <c r="E14" s="8" t="s">
        <v>1269</v>
      </c>
      <c r="F14" s="8" t="s">
        <v>1270</v>
      </c>
      <c r="G14" s="8" t="s">
        <v>1207</v>
      </c>
    </row>
    <row r="15" customFormat="false" ht="34.5" hidden="false" customHeight="true" outlineLevel="0" collapsed="false">
      <c r="A15" s="8" t="s">
        <v>1271</v>
      </c>
      <c r="B15" s="8" t="s">
        <v>1272</v>
      </c>
      <c r="C15" s="8" t="s">
        <v>1273</v>
      </c>
      <c r="D15" s="8" t="s">
        <v>1274</v>
      </c>
      <c r="E15" s="8" t="s">
        <v>1275</v>
      </c>
      <c r="F15" s="8" t="s">
        <v>1276</v>
      </c>
      <c r="G15" s="8" t="s">
        <v>1207</v>
      </c>
    </row>
    <row r="16" customFormat="false" ht="34.5" hidden="false" customHeight="true" outlineLevel="0" collapsed="false">
      <c r="A16" s="8" t="s">
        <v>1277</v>
      </c>
      <c r="B16" s="8" t="s">
        <v>1278</v>
      </c>
      <c r="C16" s="8" t="s">
        <v>1279</v>
      </c>
      <c r="D16" s="8" t="s">
        <v>1280</v>
      </c>
      <c r="E16" s="8" t="s">
        <v>1281</v>
      </c>
      <c r="F16" s="8" t="s">
        <v>1282</v>
      </c>
      <c r="G16" s="8" t="s">
        <v>1207</v>
      </c>
    </row>
    <row r="17" customFormat="false" ht="57" hidden="false" customHeight="true" outlineLevel="0" collapsed="false">
      <c r="A17" s="8" t="s">
        <v>1283</v>
      </c>
      <c r="B17" s="8" t="s">
        <v>1284</v>
      </c>
      <c r="C17" s="8" t="s">
        <v>116</v>
      </c>
      <c r="D17" s="8" t="s">
        <v>1285</v>
      </c>
      <c r="E17" s="8" t="s">
        <v>1286</v>
      </c>
      <c r="F17" s="8" t="s">
        <v>1287</v>
      </c>
      <c r="G17" s="8" t="s">
        <v>1207</v>
      </c>
    </row>
    <row r="18" customFormat="false" ht="23.25" hidden="false" customHeight="true" outlineLevel="0" collapsed="false">
      <c r="A18" s="8" t="s">
        <v>1288</v>
      </c>
      <c r="B18" s="8" t="s">
        <v>1289</v>
      </c>
      <c r="C18" s="8" t="s">
        <v>1279</v>
      </c>
      <c r="D18" s="8" t="s">
        <v>1280</v>
      </c>
      <c r="E18" s="8" t="s">
        <v>1290</v>
      </c>
      <c r="F18" s="8" t="s">
        <v>1291</v>
      </c>
      <c r="G18" s="8" t="s">
        <v>1207</v>
      </c>
    </row>
    <row r="19" customFormat="false" ht="23.25" hidden="false" customHeight="true" outlineLevel="0" collapsed="false">
      <c r="A19" s="8" t="s">
        <v>1292</v>
      </c>
      <c r="B19" s="8" t="s">
        <v>1293</v>
      </c>
      <c r="C19" s="8" t="s">
        <v>1254</v>
      </c>
      <c r="D19" s="8" t="s">
        <v>1249</v>
      </c>
      <c r="E19" s="8" t="s">
        <v>1294</v>
      </c>
      <c r="F19" s="8" t="s">
        <v>1295</v>
      </c>
      <c r="G19" s="8" t="s">
        <v>1207</v>
      </c>
    </row>
    <row r="20" customFormat="false" ht="23.25" hidden="false" customHeight="true" outlineLevel="0" collapsed="false">
      <c r="A20" s="8" t="s">
        <v>1296</v>
      </c>
      <c r="B20" s="8" t="s">
        <v>1297</v>
      </c>
      <c r="C20" s="8" t="s">
        <v>1254</v>
      </c>
      <c r="D20" s="8" t="s">
        <v>1264</v>
      </c>
      <c r="E20" s="8" t="s">
        <v>1298</v>
      </c>
      <c r="F20" s="8" t="s">
        <v>1299</v>
      </c>
      <c r="G20" s="8" t="s">
        <v>1207</v>
      </c>
    </row>
    <row r="21" customFormat="false" ht="34.5" hidden="false" customHeight="true" outlineLevel="0" collapsed="false">
      <c r="A21" s="8" t="s">
        <v>1300</v>
      </c>
      <c r="B21" s="8" t="s">
        <v>1301</v>
      </c>
      <c r="C21" s="8" t="s">
        <v>1302</v>
      </c>
      <c r="D21" s="8" t="s">
        <v>1211</v>
      </c>
      <c r="E21" s="8" t="s">
        <v>1303</v>
      </c>
      <c r="F21" s="8" t="s">
        <v>1304</v>
      </c>
      <c r="G21" s="8" t="s">
        <v>1207</v>
      </c>
    </row>
    <row r="22" customFormat="false" ht="45.75" hidden="false" customHeight="true" outlineLevel="0" collapsed="false">
      <c r="A22" s="8" t="s">
        <v>1305</v>
      </c>
      <c r="B22" s="8" t="s">
        <v>1306</v>
      </c>
      <c r="C22" s="8" t="s">
        <v>1307</v>
      </c>
      <c r="D22" s="8" t="s">
        <v>1280</v>
      </c>
      <c r="E22" s="8" t="s">
        <v>1308</v>
      </c>
      <c r="F22" s="8" t="s">
        <v>1309</v>
      </c>
      <c r="G22" s="8" t="s">
        <v>1207</v>
      </c>
    </row>
    <row r="23" customFormat="false" ht="45.75" hidden="false" customHeight="true" outlineLevel="0" collapsed="false">
      <c r="A23" s="8" t="s">
        <v>1310</v>
      </c>
      <c r="B23" s="8" t="s">
        <v>1311</v>
      </c>
      <c r="C23" s="8" t="s">
        <v>116</v>
      </c>
      <c r="D23" s="8" t="s">
        <v>1312</v>
      </c>
      <c r="E23" s="8" t="s">
        <v>1313</v>
      </c>
      <c r="F23" s="8" t="s">
        <v>1314</v>
      </c>
      <c r="G23" s="8" t="s">
        <v>1207</v>
      </c>
    </row>
    <row r="24" customFormat="false" ht="34.5" hidden="false" customHeight="true" outlineLevel="0" collapsed="false">
      <c r="A24" s="8" t="s">
        <v>1315</v>
      </c>
      <c r="B24" s="8" t="s">
        <v>1316</v>
      </c>
      <c r="C24" s="8" t="s">
        <v>116</v>
      </c>
      <c r="D24" s="8" t="s">
        <v>1317</v>
      </c>
      <c r="E24" s="8" t="s">
        <v>1318</v>
      </c>
      <c r="F24" s="8" t="s">
        <v>1319</v>
      </c>
      <c r="G24" s="8" t="s">
        <v>1207</v>
      </c>
    </row>
    <row r="25" customFormat="false" ht="34.5" hidden="false" customHeight="true" outlineLevel="0" collapsed="false">
      <c r="A25" s="8" t="s">
        <v>1320</v>
      </c>
      <c r="B25" s="8" t="s">
        <v>1321</v>
      </c>
      <c r="C25" s="8" t="s">
        <v>116</v>
      </c>
      <c r="D25" s="8" t="s">
        <v>1322</v>
      </c>
      <c r="E25" s="8" t="s">
        <v>1323</v>
      </c>
      <c r="F25" s="8" t="s">
        <v>1324</v>
      </c>
      <c r="G25" s="8" t="s">
        <v>1207</v>
      </c>
    </row>
    <row r="26" customFormat="false" ht="34.5" hidden="false" customHeight="true" outlineLevel="0" collapsed="false">
      <c r="A26" s="8" t="s">
        <v>1325</v>
      </c>
      <c r="B26" s="8" t="s">
        <v>1326</v>
      </c>
      <c r="C26" s="8" t="s">
        <v>1226</v>
      </c>
      <c r="D26" s="8" t="s">
        <v>1327</v>
      </c>
      <c r="E26" s="8" t="s">
        <v>1328</v>
      </c>
      <c r="F26" s="8" t="s">
        <v>1329</v>
      </c>
      <c r="G26" s="8" t="s">
        <v>1207</v>
      </c>
    </row>
    <row r="27" customFormat="false" ht="23.25" hidden="false" customHeight="true" outlineLevel="0" collapsed="false">
      <c r="A27" s="8" t="s">
        <v>1330</v>
      </c>
      <c r="B27" s="8" t="s">
        <v>1331</v>
      </c>
      <c r="C27" s="8" t="s">
        <v>1332</v>
      </c>
      <c r="D27" s="8" t="s">
        <v>1249</v>
      </c>
      <c r="E27" s="8" t="s">
        <v>1333</v>
      </c>
      <c r="F27" s="8" t="s">
        <v>1334</v>
      </c>
      <c r="G27" s="8" t="s">
        <v>158</v>
      </c>
    </row>
    <row r="28" customFormat="false" ht="34.5" hidden="false" customHeight="true" outlineLevel="0" collapsed="false">
      <c r="A28" s="8" t="s">
        <v>1335</v>
      </c>
      <c r="B28" s="8" t="s">
        <v>1336</v>
      </c>
      <c r="C28" s="8" t="s">
        <v>1332</v>
      </c>
      <c r="D28" s="8" t="s">
        <v>1249</v>
      </c>
      <c r="E28" s="8" t="s">
        <v>1333</v>
      </c>
      <c r="F28" s="8" t="s">
        <v>1337</v>
      </c>
      <c r="G28" s="8" t="s">
        <v>1338</v>
      </c>
    </row>
    <row r="29" customFormat="false" ht="23.25" hidden="false" customHeight="true" outlineLevel="0" collapsed="false">
      <c r="A29" s="8" t="s">
        <v>1339</v>
      </c>
      <c r="B29" s="8" t="s">
        <v>1340</v>
      </c>
      <c r="C29" s="8" t="s">
        <v>1341</v>
      </c>
      <c r="D29" s="8" t="s">
        <v>1342</v>
      </c>
      <c r="E29" s="8" t="s">
        <v>1333</v>
      </c>
      <c r="F29" s="8" t="s">
        <v>1343</v>
      </c>
      <c r="G29" s="8" t="s">
        <v>1338</v>
      </c>
    </row>
    <row r="30" customFormat="false" ht="34.5" hidden="false" customHeight="true" outlineLevel="0" collapsed="false">
      <c r="A30" s="8" t="s">
        <v>1344</v>
      </c>
      <c r="B30" s="8" t="s">
        <v>1345</v>
      </c>
      <c r="C30" s="8" t="s">
        <v>1346</v>
      </c>
      <c r="D30" s="8" t="s">
        <v>1347</v>
      </c>
      <c r="E30" s="8" t="s">
        <v>1333</v>
      </c>
      <c r="F30" s="8" t="s">
        <v>1348</v>
      </c>
      <c r="G30" s="8" t="s">
        <v>158</v>
      </c>
    </row>
    <row r="31" customFormat="false" ht="34.5" hidden="false" customHeight="true" outlineLevel="0" collapsed="false">
      <c r="A31" s="8" t="s">
        <v>1349</v>
      </c>
      <c r="B31" s="8" t="s">
        <v>1350</v>
      </c>
      <c r="C31" s="8" t="s">
        <v>1351</v>
      </c>
      <c r="D31" s="8" t="s">
        <v>1352</v>
      </c>
      <c r="E31" s="8" t="s">
        <v>1333</v>
      </c>
      <c r="F31" s="8" t="s">
        <v>1353</v>
      </c>
      <c r="G31" s="8" t="s">
        <v>1338</v>
      </c>
    </row>
    <row r="32" customFormat="false" ht="23.25" hidden="false" customHeight="true" outlineLevel="0" collapsed="false">
      <c r="A32" s="8" t="s">
        <v>1354</v>
      </c>
      <c r="B32" s="8" t="s">
        <v>1355</v>
      </c>
      <c r="C32" s="8" t="s">
        <v>1356</v>
      </c>
      <c r="D32" s="8" t="s">
        <v>1357</v>
      </c>
      <c r="E32" s="8" t="s">
        <v>1333</v>
      </c>
      <c r="F32" s="8" t="s">
        <v>1358</v>
      </c>
      <c r="G32" s="8" t="s">
        <v>158</v>
      </c>
    </row>
    <row r="33" customFormat="false" ht="34.5" hidden="false" customHeight="true" outlineLevel="0" collapsed="false">
      <c r="A33" s="8" t="s">
        <v>1359</v>
      </c>
      <c r="B33" s="8" t="s">
        <v>1360</v>
      </c>
      <c r="C33" s="8" t="s">
        <v>1361</v>
      </c>
      <c r="D33" s="8" t="s">
        <v>1264</v>
      </c>
      <c r="E33" s="8" t="s">
        <v>1362</v>
      </c>
      <c r="F33" s="8" t="s">
        <v>1363</v>
      </c>
      <c r="G33" s="8" t="s">
        <v>1364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30" hidden="false" customHeight="true" outlineLevel="0" collapsed="false">
      <c r="A1" s="7" t="s">
        <v>1365</v>
      </c>
      <c r="B1" s="7" t="s">
        <v>1366</v>
      </c>
      <c r="C1" s="7" t="s">
        <v>558</v>
      </c>
    </row>
    <row r="2" customFormat="false" ht="23.25" hidden="false" customHeight="true" outlineLevel="0" collapsed="false">
      <c r="A2" s="8" t="s">
        <v>1367</v>
      </c>
      <c r="B2" s="8" t="s">
        <v>1368</v>
      </c>
      <c r="C2" s="8" t="s">
        <v>1369</v>
      </c>
    </row>
    <row r="3" customFormat="false" ht="15" hidden="false" customHeight="true" outlineLevel="0" collapsed="false">
      <c r="A3" s="8" t="s">
        <v>1370</v>
      </c>
      <c r="B3" s="8" t="s">
        <v>1371</v>
      </c>
      <c r="C3" s="8" t="s">
        <v>1372</v>
      </c>
    </row>
    <row r="4" customFormat="false" ht="15" hidden="false" customHeight="true" outlineLevel="0" collapsed="false">
      <c r="A4" s="8" t="s">
        <v>1373</v>
      </c>
      <c r="B4" s="8" t="s">
        <v>1374</v>
      </c>
      <c r="C4" s="8" t="s">
        <v>1375</v>
      </c>
    </row>
    <row r="5" customFormat="false" ht="15" hidden="false" customHeight="true" outlineLevel="0" collapsed="false">
      <c r="A5" s="8" t="s">
        <v>1376</v>
      </c>
      <c r="B5" s="8" t="s">
        <v>1377</v>
      </c>
      <c r="C5" s="8" t="s">
        <v>151</v>
      </c>
    </row>
    <row r="6" customFormat="false" ht="15" hidden="false" customHeight="true" outlineLevel="0" collapsed="false">
      <c r="A6" s="8" t="s">
        <v>1378</v>
      </c>
      <c r="B6" s="8" t="s">
        <v>1379</v>
      </c>
      <c r="C6" s="8" t="s">
        <v>1380</v>
      </c>
    </row>
    <row r="7" customFormat="false" ht="15" hidden="false" customHeight="true" outlineLevel="0" collapsed="false">
      <c r="A7" s="8" t="s">
        <v>1381</v>
      </c>
      <c r="B7" s="8" t="s">
        <v>1382</v>
      </c>
      <c r="C7" s="8" t="s">
        <v>1383</v>
      </c>
    </row>
    <row r="8" customFormat="false" ht="15" hidden="false" customHeight="true" outlineLevel="0" collapsed="false">
      <c r="A8" s="8" t="s">
        <v>1384</v>
      </c>
      <c r="B8" s="8" t="s">
        <v>1385</v>
      </c>
      <c r="C8" s="8" t="s">
        <v>1386</v>
      </c>
    </row>
    <row r="9" customFormat="false" ht="15" hidden="false" customHeight="true" outlineLevel="0" collapsed="false">
      <c r="A9" s="8" t="s">
        <v>1387</v>
      </c>
      <c r="B9" s="8" t="s">
        <v>1388</v>
      </c>
      <c r="C9" s="8" t="s">
        <v>1389</v>
      </c>
    </row>
    <row r="10" customFormat="false" ht="15" hidden="false" customHeight="true" outlineLevel="0" collapsed="false">
      <c r="A10" s="8" t="s">
        <v>1390</v>
      </c>
      <c r="B10" s="8" t="s">
        <v>1391</v>
      </c>
      <c r="C10" s="8" t="s">
        <v>1392</v>
      </c>
    </row>
    <row r="11" customFormat="false" ht="15" hidden="false" customHeight="true" outlineLevel="0" collapsed="false">
      <c r="A11" s="8" t="s">
        <v>1393</v>
      </c>
      <c r="B11" s="8" t="s">
        <v>1394</v>
      </c>
      <c r="C11" s="8" t="s">
        <v>1395</v>
      </c>
    </row>
    <row r="12" customFormat="false" ht="15" hidden="false" customHeight="true" outlineLevel="0" collapsed="false">
      <c r="A12" s="8" t="s">
        <v>1396</v>
      </c>
      <c r="B12" s="8" t="s">
        <v>1397</v>
      </c>
      <c r="C12" s="8" t="s">
        <v>151</v>
      </c>
    </row>
    <row r="13" customFormat="false" ht="15" hidden="false" customHeight="true" outlineLevel="0" collapsed="false">
      <c r="A13" s="8" t="s">
        <v>1398</v>
      </c>
      <c r="B13" s="8" t="s">
        <v>1399</v>
      </c>
      <c r="C13" s="8" t="s">
        <v>1400</v>
      </c>
    </row>
    <row r="14" customFormat="false" ht="15" hidden="false" customHeight="true" outlineLevel="0" collapsed="false">
      <c r="A14" s="8" t="s">
        <v>1401</v>
      </c>
      <c r="B14" s="8" t="s">
        <v>1402</v>
      </c>
      <c r="C14" s="8" t="s">
        <v>1403</v>
      </c>
    </row>
    <row r="15" customFormat="false" ht="15" hidden="false" customHeight="true" outlineLevel="0" collapsed="false">
      <c r="A15" s="8" t="s">
        <v>1404</v>
      </c>
      <c r="B15" s="8" t="s">
        <v>1405</v>
      </c>
      <c r="C15" s="8" t="s">
        <v>1406</v>
      </c>
    </row>
    <row r="16" customFormat="false" ht="15" hidden="false" customHeight="true" outlineLevel="0" collapsed="false">
      <c r="A16" s="8" t="s">
        <v>1407</v>
      </c>
      <c r="B16" s="8" t="s">
        <v>1408</v>
      </c>
      <c r="C16" s="8" t="s">
        <v>1409</v>
      </c>
    </row>
    <row r="17" customFormat="false" ht="15" hidden="false" customHeight="true" outlineLevel="0" collapsed="false">
      <c r="A17" s="8" t="s">
        <v>1410</v>
      </c>
      <c r="B17" s="8" t="s">
        <v>1411</v>
      </c>
      <c r="C17" s="8" t="s">
        <v>1412</v>
      </c>
    </row>
    <row r="18" customFormat="false" ht="15" hidden="false" customHeight="true" outlineLevel="0" collapsed="false">
      <c r="A18" s="8" t="s">
        <v>1413</v>
      </c>
      <c r="B18" s="8" t="s">
        <v>1414</v>
      </c>
      <c r="C18" s="8" t="s">
        <v>1415</v>
      </c>
    </row>
    <row r="19" customFormat="false" ht="15" hidden="false" customHeight="true" outlineLevel="0" collapsed="false">
      <c r="A19" s="8" t="s">
        <v>1416</v>
      </c>
      <c r="B19" s="8" t="s">
        <v>1417</v>
      </c>
      <c r="C19" s="8" t="s">
        <v>1418</v>
      </c>
    </row>
    <row r="20" customFormat="false" ht="15" hidden="false" customHeight="true" outlineLevel="0" collapsed="false">
      <c r="A20" s="8" t="s">
        <v>1419</v>
      </c>
      <c r="B20" s="8" t="s">
        <v>1420</v>
      </c>
      <c r="C20" s="8" t="s">
        <v>1421</v>
      </c>
    </row>
    <row r="21" customFormat="false" ht="15" hidden="false" customHeight="true" outlineLevel="0" collapsed="false">
      <c r="A21" s="8" t="s">
        <v>1422</v>
      </c>
      <c r="B21" s="8" t="s">
        <v>1423</v>
      </c>
      <c r="C21" s="8" t="s">
        <v>151</v>
      </c>
    </row>
    <row r="22" customFormat="false" ht="15" hidden="false" customHeight="true" outlineLevel="0" collapsed="false">
      <c r="A22" s="8" t="s">
        <v>1424</v>
      </c>
      <c r="B22" s="8" t="s">
        <v>1425</v>
      </c>
      <c r="C22" s="8" t="s">
        <v>151</v>
      </c>
    </row>
    <row r="23" customFormat="false" ht="15" hidden="false" customHeight="true" outlineLevel="0" collapsed="false">
      <c r="A23" s="8" t="s">
        <v>1426</v>
      </c>
      <c r="B23" s="8" t="s">
        <v>1427</v>
      </c>
      <c r="C23" s="8" t="s">
        <v>1428</v>
      </c>
    </row>
    <row r="24" customFormat="false" ht="15" hidden="false" customHeight="true" outlineLevel="0" collapsed="false">
      <c r="A24" s="8" t="s">
        <v>1429</v>
      </c>
      <c r="B24" s="8" t="s">
        <v>1430</v>
      </c>
      <c r="C24" s="8" t="s">
        <v>1431</v>
      </c>
    </row>
    <row r="26" customFormat="false" ht="15" hidden="false" customHeight="true" outlineLevel="0" collapsed="false">
      <c r="A26" s="12" t="s">
        <v>1432</v>
      </c>
    </row>
  </sheetData>
  <autoFilter ref="A1:C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2026-10-18T12:03:07Z</dcterms:created>
  <dc:creator>openpyxl</dc:creator>
  <dc:description/>
  <dc:language>en-US</dc:language>
  <cp:lastModifiedBy/>
  <dcterms:modified xsi:type="dcterms:W3CDTF">2026-10-21T13:11:40Z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
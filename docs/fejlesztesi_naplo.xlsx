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Útmutató" sheetId="1" state="visible" r:id="rId1"/>
    <sheet name="Összefoglaló" sheetId="2" state="visible" r:id="rId2"/>
    <sheet name="Hibák" sheetId="3" state="visible" r:id="rId3"/>
    <sheet name="Változtatások" sheetId="4" state="visible" r:id="rId4"/>
    <sheet name="Tervezés" sheetId="5" state="visible" r:id="rId5"/>
    <sheet name="Nyitott kérdések" sheetId="6" state="visible" r:id="rId6"/>
    <sheet name="Szoftver" sheetId="7" state="visible" r:id="rId7"/>
    <sheet name="Szoftverterv" sheetId="8" state="visible" r:id="rId8"/>
    <sheet name="Ütemterv" sheetId="9" state="visible" r:id="rId9"/>
    <sheet name="Források" sheetId="10" state="visible" r:id="rId10"/>
    <sheet name="Szójegyzék" sheetId="11" state="visible" r:id="rId11"/>
  </sheets>
  <definedNames>
    <definedName name="_xlnm._FilterDatabase" localSheetId="2" hidden="1">'Hibák'!$A$1:$K$19</definedName>
    <definedName name="_xlnm._FilterDatabase" localSheetId="3" hidden="1">'Változtatások'!$A$1:$H$18</definedName>
    <definedName name="_xlnm._FilterDatabase" localSheetId="4" hidden="1">'Tervezés'!$A$1:$F$20</definedName>
    <definedName name="_xlnm._FilterDatabase" localSheetId="5" hidden="1">'Nyitott kérdések'!$A$1:$E$18</definedName>
    <definedName name="_xlnm._FilterDatabase" localSheetId="6" hidden="1">'Szoftver'!$A$1:$G$22</definedName>
    <definedName name="_xlnm._FilterDatabase" localSheetId="10" hidden="1">'Szójegyzék'!$A$1:$C$24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center"/>
    </xf>
    <xf numFmtId="0" fontId="0" fillId="0" borderId="4" pivotButton="0" quotePrefix="0" xfId="0"/>
    <xf numFmtId="0" fontId="0" fillId="0" borderId="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17" min="1" max="1"/>
  </cols>
  <sheetData>
    <row r="1" ht="17.25" customHeight="1" s="18">
      <c r="A1" s="19" t="inlineStr">
        <is>
          <t>Szakdolgozat – fejlesztési napló</t>
        </is>
      </c>
    </row>
    <row r="2" ht="15" customHeight="1" s="18">
      <c r="A2" s="20" t="inlineStr">
        <is>
          <t>Projekt: OBD-II telemetria node (ESP32-C3) + Display Node (ESP32-S3)</t>
        </is>
      </c>
    </row>
    <row r="3" ht="15" customHeight="1" s="18">
      <c r="A3" s="20" t="n"/>
    </row>
    <row r="4" ht="15" customHeight="1" s="18">
      <c r="A4" s="21" t="inlineStr">
        <is>
          <t>Lapok</t>
        </is>
      </c>
    </row>
    <row r="5" ht="15" customHeight="1" s="18">
      <c r="A5" s="20" t="inlineStr">
        <is>
          <t>Hibák – minden talált hiba, kockázat és eltérés (súlyosság, ok, hatás, javítás, státusz).</t>
        </is>
      </c>
    </row>
    <row r="6" ht="15" customHeight="1" s="18">
      <c r="A6" s="20" t="inlineStr">
        <is>
          <t>Változtatások – minden végrehajtott vagy eldöntött módosítás (NYÁK, alkatrész, dokumentum, rendelés, eszköz).</t>
        </is>
      </c>
    </row>
    <row r="7" ht="15" customHeight="1" s="18">
      <c r="A7" s="20" t="inlineStr">
        <is>
          <t>Tervezés – tervezési döntések indoklással és alternatívákkal (ez adja a dolgozat 'miért így' fejezeteit).</t>
        </is>
      </c>
    </row>
    <row r="8" ht="15" customHeight="1" s="18">
      <c r="A8" s="20" t="inlineStr">
        <is>
          <t>Nyitott kérdések – még nem eldöntött vagy nem mért dolgok.</t>
        </is>
      </c>
    </row>
    <row r="9" ht="15" customHeight="1" s="18">
      <c r="A9" s="20" t="inlineStr">
        <is>
          <t>Összefoglaló – automatikus darabszámok a lapokból (képletek, nem kell szerkeszteni).</t>
        </is>
      </c>
    </row>
    <row r="10" ht="15" customHeight="1" s="18">
      <c r="A10" s="20" t="inlineStr">
        <is>
          <t>Szoftverterv – a szoftver felépítése: könyvtárak, fájlok, függvények, feladatok, üzenetformátum, számítások, mérföldkövek (a Szoftver lap S- azonosítóira hivatkozik).</t>
        </is>
      </c>
    </row>
    <row r="11" ht="15" customHeight="1" s="18">
      <c r="A11" s="20" t="n"/>
    </row>
    <row r="12" ht="15" customHeight="1" s="18">
      <c r="A12" s="21" t="inlineStr">
        <is>
          <t>Használat</t>
        </is>
      </c>
    </row>
    <row r="13" ht="15" customHeight="1" s="18">
      <c r="A13" s="20" t="inlineStr">
        <is>
          <t>A kék betűs szöveg a kitöltendő vagy bizonytalan adat. Az 'Azonosító' oszlop (H-, V-, T-, Q-) a lapok közötti hivatkozásra való.</t>
        </is>
      </c>
    </row>
    <row r="14" ht="15" customHeight="1" s="18">
      <c r="A14" s="20" t="inlineStr">
        <is>
          <t>A 'Hivatkozás' oszlopban a dokumentum szakaszszáma vagy fájlnév áll, hogy a dolgozatban vissza lehessen keresni.</t>
        </is>
      </c>
    </row>
    <row r="15" ht="15" customHeight="1" s="18">
      <c r="A15" s="20" t="inlineStr">
        <is>
          <t>A dátumok az eddigi beszélgetésből és a dokumentumverziókból származnak; ahol a pontos nap nem ismert, 'kitöltendő' áll, és kék betűs.</t>
        </is>
      </c>
    </row>
    <row r="16" ht="15" customHeight="1" s="18">
      <c r="A16" s="20" t="inlineStr">
        <is>
          <t>Új sor: másold az utolsó sort, vagy írj az első üres sorba; a legördülő listák (súlyosság, státusz) 500. sorig működnek. A szűrő az oszlopfejlécen van.</t>
        </is>
      </c>
    </row>
    <row r="17" ht="23.25" customHeight="1" s="18">
      <c r="A17" s="20" t="n"/>
    </row>
    <row r="18" ht="23.25" customHeight="1" s="18">
      <c r="A18" s="20" t="inlineStr">
        <is>
          <t>Súlyosság: Kritikus = a NYÁK nem működik / veszélyes; Magas = funkciókiesés vagy javítás kell; Közepes = korlátozás, megkerülhető; Alacsony = kozmetikai / dokumentációs.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5" customWidth="1" style="17" min="1" max="1"/>
    <col width="12" customWidth="1" style="17" min="2" max="2"/>
  </cols>
  <sheetData>
    <row r="1" ht="15" customHeight="1" s="18">
      <c r="A1" s="22" t="inlineStr">
        <is>
          <t>Összefoglaló (képletek, nem szerkesztendő)</t>
        </is>
      </c>
    </row>
    <row r="3" ht="15" customHeight="1" s="18">
      <c r="A3" s="23" t="inlineStr">
        <is>
          <t>Hibák összesen</t>
        </is>
      </c>
      <c r="B3" s="23">
        <f>COUNTA(Hibák!A2:A500)</f>
        <v/>
      </c>
    </row>
    <row r="4" ht="15" customHeight="1" s="18">
      <c r="A4" s="23" t="inlineStr">
        <is>
          <t xml:space="preserve">  Kritikus</t>
        </is>
      </c>
      <c r="B4" s="23">
        <f>COUNTIF(Hibák!F2:F500,"Kritikus")</f>
        <v/>
      </c>
    </row>
    <row r="5" ht="15" customHeight="1" s="18">
      <c r="A5" s="23" t="inlineStr">
        <is>
          <t xml:space="preserve">  Magas</t>
        </is>
      </c>
      <c r="B5" s="23">
        <f>COUNTIF(Hibák!F2:F500,"Magas")</f>
        <v/>
      </c>
    </row>
    <row r="6" ht="15" customHeight="1" s="18">
      <c r="A6" s="23" t="inlineStr">
        <is>
          <t xml:space="preserve">  Közepes</t>
        </is>
      </c>
      <c r="B6" s="23">
        <f>COUNTIF(Hibák!F2:F500,"Közepes")</f>
        <v/>
      </c>
    </row>
    <row r="7" ht="15" customHeight="1" s="18">
      <c r="A7" s="23" t="inlineStr">
        <is>
          <t xml:space="preserve">  Alacsony</t>
        </is>
      </c>
      <c r="B7" s="23">
        <f>COUNTIF(Hibák!F2:F500,"Alacsony")</f>
        <v/>
      </c>
    </row>
    <row r="8" ht="15" customHeight="1" s="18">
      <c r="A8" s="23" t="inlineStr">
        <is>
          <t>Hibák – még nem lezárt (Nyitott, Tervezett, Ellenőrizendő, Döntés szükséges)</t>
        </is>
      </c>
      <c r="B8" s="23">
        <f>COUNTIF(Hibák!J2:J500,"Nyitott")+COUNTIF(Hibák!J2:J500,"Tervezett*")+COUNTIF(Hibák!J2:J500,"Ellenőrizendő")+COUNTIF(Hibák!J2:J500,"Szoftveres megoldás tervezve")</f>
        <v/>
      </c>
    </row>
    <row r="9" ht="15" customHeight="1" s="18">
      <c r="A9" s="23" t="inlineStr">
        <is>
          <t>Változtatások összesen</t>
        </is>
      </c>
      <c r="B9" s="23">
        <f>COUNTA(Változtatások!A2:A500)</f>
        <v/>
      </c>
    </row>
    <row r="10" ht="15" customHeight="1" s="18">
      <c r="A10" s="23" t="inlineStr">
        <is>
          <t xml:space="preserve">  ebből tervezett (még nem végrehajtott)</t>
        </is>
      </c>
      <c r="B10" s="23">
        <f>COUNTIF(Változtatások!H2:H500,"Tervezett")</f>
        <v/>
      </c>
    </row>
    <row r="11" ht="15" customHeight="1" s="18">
      <c r="A11" s="23" t="inlineStr">
        <is>
          <t>Tervezési döntések</t>
        </is>
      </c>
      <c r="B11" s="23">
        <f>COUNTA(Tervezés!A2:A500)</f>
        <v/>
      </c>
    </row>
    <row r="12" ht="15" customHeight="1" s="18">
      <c r="A12" s="23" t="inlineStr">
        <is>
          <t>Nyitott kérdések</t>
        </is>
      </c>
      <c r="B12" s="23">
        <f>COUNTIF('Nyitott kérdések'!E2:E500,"Nyitott")</f>
        <v/>
      </c>
    </row>
    <row r="13" ht="15" customHeight="1" s="18">
      <c r="A13" s="23" t="inlineStr">
        <is>
          <t>Szoftver funkciók összesen</t>
        </is>
      </c>
      <c r="B13" s="23">
        <f>COUNTIF(Szoftver!A2:A40,"S-*")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12" customWidth="1" style="17" min="2" max="2"/>
    <col width="18" customWidth="1" style="17" min="3" max="3"/>
    <col width="55" customWidth="1" style="17" min="4" max="4"/>
    <col width="22" customWidth="1" style="17" min="5" max="5"/>
    <col width="12" customWidth="1" style="17" min="6" max="6"/>
    <col width="40" customWidth="1" style="17" min="7" max="7"/>
    <col width="55" customWidth="1" style="17" min="8" max="8"/>
    <col width="14" customWidth="1" style="17" min="9" max="9"/>
    <col width="18" customWidth="1" style="17" min="10" max="10"/>
    <col width="22" customWidth="1" style="17" min="11" max="11"/>
  </cols>
  <sheetData>
    <row r="1" ht="30" customHeight="1" s="18">
      <c r="A1" s="24" t="inlineStr">
        <is>
          <t>Azonosító</t>
        </is>
      </c>
      <c r="B1" s="24" t="inlineStr">
        <is>
          <t>Dátum</t>
        </is>
      </c>
      <c r="C1" s="24" t="inlineStr">
        <is>
          <t>Rendszer / lap</t>
        </is>
      </c>
      <c r="D1" s="24" t="inlineStr">
        <is>
          <t>Hiba leírása</t>
        </is>
      </c>
      <c r="E1" s="24" t="inlineStr">
        <is>
          <t>Felfedezés módja</t>
        </is>
      </c>
      <c r="F1" s="24" t="inlineStr">
        <is>
          <t>Súlyosság</t>
        </is>
      </c>
      <c r="G1" s="24" t="inlineStr">
        <is>
          <t>Hatás</t>
        </is>
      </c>
      <c r="H1" s="24" t="inlineStr">
        <is>
          <t>Javítás / intézkedés</t>
        </is>
      </c>
      <c r="I1" s="24" t="inlineStr">
        <is>
          <t>Kapcsolódó változtatás</t>
        </is>
      </c>
      <c r="J1" s="24" t="inlineStr">
        <is>
          <t>Státusz</t>
        </is>
      </c>
      <c r="K1" s="24" t="inlineStr">
        <is>
          <t>Hivatkozás</t>
        </is>
      </c>
    </row>
    <row r="2" ht="34.5" customHeight="1" s="18">
      <c r="A2" s="25" t="inlineStr">
        <is>
          <t>H-01</t>
        </is>
      </c>
      <c r="B2" s="25" t="inlineStr">
        <is>
          <t>2026-10-15</t>
        </is>
      </c>
      <c r="C2" s="25" t="inlineStr">
        <is>
          <t>Display NYÁK</t>
        </is>
      </c>
      <c r="D2" s="25" t="inlineStr">
        <is>
          <t>Q1 (AO3401A) source/drain felcserélve: a body dióda rossz irányba állt, így az akkumulátor-táp útvonal nem a tervezett módon vezetett.</t>
        </is>
      </c>
      <c r="E2" s="25" t="inlineStr">
        <is>
          <t>Kapcsolási rajz / NYÁK átnézés</t>
        </is>
      </c>
      <c r="F2" s="25" t="inlineStr">
        <is>
          <t>Magas</t>
        </is>
      </c>
      <c r="G2" s="25" t="inlineStr">
        <is>
          <t>Hibás tápútválasztás: az USB- és akkuüzem közti átváltás nem megbízható.</t>
        </is>
      </c>
      <c r="H2" s="25" t="inlineStr">
        <is>
          <t>Q1 2. és 3. pad hálózata és a hozzá tartozó rézvezetés javítva (Source = V_SYS, Drain = BTR+, Gate = +5V). Új NYÁK: Y10-13775771A.</t>
        </is>
      </c>
      <c r="I2" s="25" t="inlineStr">
        <is>
          <t>V-03</t>
        </is>
      </c>
      <c r="J2" s="25" t="inlineStr">
        <is>
          <t>Javítva (új NYÁK)</t>
        </is>
      </c>
      <c r="K2" s="25" t="inlineStr">
        <is>
          <t>display leírás 3.2.3</t>
        </is>
      </c>
    </row>
    <row r="3" ht="34.5" customHeight="1" s="18">
      <c r="A3" s="25" t="inlineStr">
        <is>
          <t>H-02</t>
        </is>
      </c>
      <c r="B3" s="25" t="inlineStr">
        <is>
          <t>2026-10-15</t>
        </is>
      </c>
      <c r="C3" s="25" t="inlineStr">
        <is>
          <t>Display NYÁK</t>
        </is>
      </c>
      <c r="D3" s="25" t="inlineStr">
        <is>
          <t>A Q1 gate-kisülési ideje C10 (10 µF) miatt τ = R17·C10 ≈ 0,5 s (R17 = 100 kΩ); korábbi feltevés ('nincs kapacitás a gate-hálón') téves volt.</t>
        </is>
      </c>
      <c r="E3" s="25" t="inlineStr">
        <is>
          <t>Számítás (dokumentum felülvizsgálat)</t>
        </is>
      </c>
      <c r="F3" s="25" t="inlineStr">
        <is>
          <t>Közepes</t>
        </is>
      </c>
      <c r="G3" s="25" t="inlineStr">
        <is>
          <t>USB lekötése után a gate lassan esik, átváltáskor rövid átmeneti állapot lehet.</t>
        </is>
      </c>
      <c r="H3" s="25" t="inlineStr">
        <is>
          <t>R17 mellé 1 kΩ párhuzamosan (≈ 5 ms, de ≈ 4 mA állandó terhelés USB-üzemben). Kézi utómunka a lapok megérkezése után.</t>
        </is>
      </c>
      <c r="I3" s="25" t="inlineStr">
        <is>
          <t>V-04</t>
        </is>
      </c>
      <c r="J3" s="25" t="inlineStr">
        <is>
          <t>Tervezett (kézi)</t>
        </is>
      </c>
      <c r="K3" s="25" t="inlineStr">
        <is>
          <t>display leírás 3.2.1(b), 3.2.4</t>
        </is>
      </c>
    </row>
    <row r="4" ht="23.25" customHeight="1" s="18">
      <c r="A4" s="25" t="inlineStr">
        <is>
          <t>H-03</t>
        </is>
      </c>
      <c r="B4" s="25" t="inlineStr">
        <is>
          <t>2026-10-15</t>
        </is>
      </c>
      <c r="C4" s="25" t="inlineStr">
        <is>
          <t>Display NYÁK</t>
        </is>
      </c>
      <c r="D4" s="25" t="inlineStr">
        <is>
          <t>F1 (PPTC, 0,5 A) alulméretezett a TP4056 töltőáramhoz és a terheléshez együtt.</t>
        </is>
      </c>
      <c r="E4" s="25" t="inlineStr">
        <is>
          <t>Terhelésszámítás</t>
        </is>
      </c>
      <c r="F4" s="25" t="inlineStr">
        <is>
          <t>Magas</t>
        </is>
      </c>
      <c r="G4" s="25" t="inlineStr">
        <is>
          <t>Töltés és működés közben az F1 kioldhat.</t>
        </is>
      </c>
      <c r="H4" s="25" t="inlineStr">
        <is>
          <t>F1 cseréje 1 A-es típusra vagy kettőzése. Kézi utómunka.</t>
        </is>
      </c>
      <c r="I4" s="25" t="inlineStr">
        <is>
          <t>V-04</t>
        </is>
      </c>
      <c r="J4" s="25" t="inlineStr">
        <is>
          <t>Tervezett (kézi)</t>
        </is>
      </c>
      <c r="K4" s="25" t="inlineStr">
        <is>
          <t>display leírás 3.2.4</t>
        </is>
      </c>
    </row>
    <row r="5" ht="23.25" customHeight="1" s="18">
      <c r="A5" s="25" t="inlineStr">
        <is>
          <t>H-04</t>
        </is>
      </c>
      <c r="B5" s="25" t="inlineStr">
        <is>
          <t>2026-10-15</t>
        </is>
      </c>
      <c r="C5" s="25" t="inlineStr">
        <is>
          <t>Display NYÁK</t>
        </is>
      </c>
      <c r="D5" s="26" t="inlineStr">
        <is>
          <t>C6 értéke (100 nF) kevés; a javítás 1 µF-os pótlás. [A pontos ok és hatás kitöltendő a display leírás 3.2.4 szerint.]</t>
        </is>
      </c>
      <c r="E5" s="25" t="inlineStr">
        <is>
          <t>Dokumentum felülvizsgálat</t>
        </is>
      </c>
      <c r="F5" s="25" t="inlineStr">
        <is>
          <t>Közepes</t>
        </is>
      </c>
      <c r="G5" s="26" t="inlineStr">
        <is>
          <t>[kitöltendő]</t>
        </is>
      </c>
      <c r="H5" s="25" t="inlineStr">
        <is>
          <t>C6-ra 1 µF párhuzamosan (piggyback). Kézi utómunka.</t>
        </is>
      </c>
      <c r="I5" s="25" t="inlineStr">
        <is>
          <t>V-04</t>
        </is>
      </c>
      <c r="J5" s="25" t="inlineStr">
        <is>
          <t>Tervezett (kézi)</t>
        </is>
      </c>
      <c r="K5" s="25" t="inlineStr">
        <is>
          <t>display leírás 3.2.4</t>
        </is>
      </c>
    </row>
    <row r="6" ht="23.25" customHeight="1" s="18">
      <c r="A6" s="25" t="inlineStr">
        <is>
          <t>H-05</t>
        </is>
      </c>
      <c r="B6" s="25" t="inlineStr">
        <is>
          <t>2026-10-15</t>
        </is>
      </c>
      <c r="C6" s="25" t="inlineStr">
        <is>
          <t>Display NYÁK</t>
        </is>
      </c>
      <c r="D6" s="25" t="inlineStr">
        <is>
          <t>D2 (SMAJ5.0A) letörési feszültsége (min. 6,4 V) közel van a 5 V-os sín felső tűréséhez.</t>
        </is>
      </c>
      <c r="E6" s="25" t="inlineStr">
        <is>
          <t>Adatlap-összevetés</t>
        </is>
      </c>
      <c r="F6" s="25" t="inlineStr">
        <is>
          <t>Alacsony</t>
        </is>
      </c>
      <c r="G6" s="25" t="inlineStr">
        <is>
          <t>Csúcsok közben a TVS már szivároghat.</t>
        </is>
      </c>
      <c r="H6" s="25" t="inlineStr">
        <is>
          <t>Opcionális csere SMAJ6.0A-ra a kézi utómunka során.</t>
        </is>
      </c>
      <c r="I6" s="25" t="inlineStr">
        <is>
          <t>V-04</t>
        </is>
      </c>
      <c r="J6" s="25" t="inlineStr">
        <is>
          <t>Tervezett (opcionális)</t>
        </is>
      </c>
      <c r="K6" s="25" t="inlineStr">
        <is>
          <t>display leírás 3.2.4</t>
        </is>
      </c>
    </row>
    <row r="7" ht="34.5" customHeight="1" s="18">
      <c r="A7" s="25" t="inlineStr">
        <is>
          <t>H-06</t>
        </is>
      </c>
      <c r="B7" s="25" t="inlineStr">
        <is>
          <t>2026-10-15</t>
        </is>
      </c>
      <c r="C7" s="25" t="inlineStr">
        <is>
          <t>Display NYÁK</t>
        </is>
      </c>
      <c r="D7" s="25" t="inlineStr">
        <is>
          <t>Nincs külső I²C felhúzó ellenállás a lapon (TP_SDA/TP_SCL).</t>
        </is>
      </c>
      <c r="E7" s="25" t="inlineStr">
        <is>
          <t>NYÁK/kapcsolási rajz átnézés</t>
        </is>
      </c>
      <c r="F7" s="25" t="inlineStr">
        <is>
          <t>Közepes</t>
        </is>
      </c>
      <c r="G7" s="25" t="inlineStr">
        <is>
          <t>Belső (~45 kΩ) felhúzóval csak 100 kHz-en megbízható; a Waveshare modul felhúzóit az oldal nem említi.</t>
        </is>
      </c>
      <c r="H7" s="25" t="inlineStr">
        <is>
          <t>Modul kapcsolási rajzának vagy mérésnek az ellenőrzése; szoftverben 100 kHz-ről indulni; szükség esetén külső felhúzó.</t>
        </is>
      </c>
      <c r="I7" s="25" t="n"/>
      <c r="J7" s="25" t="inlineStr">
        <is>
          <t>Nyitott</t>
        </is>
      </c>
      <c r="K7" s="25" t="inlineStr">
        <is>
          <t>display leírás 2.2</t>
        </is>
      </c>
    </row>
    <row r="8" ht="23.25" customHeight="1" s="18">
      <c r="A8" s="25" t="inlineStr">
        <is>
          <t>H-07</t>
        </is>
      </c>
      <c r="B8" s="25" t="inlineStr">
        <is>
          <t>2026-10-15</t>
        </is>
      </c>
      <c r="C8" s="25" t="inlineStr">
        <is>
          <t>Display dokumentáció</t>
        </is>
      </c>
      <c r="D8" s="25" t="inlineStr">
        <is>
          <t>Érintővezérlő típusa a leírásban CST816D volt, a valódi modulban CST816S van.</t>
        </is>
      </c>
      <c r="E8" s="25" t="inlineStr">
        <is>
          <t>Waveshare termékoldal</t>
        </is>
      </c>
      <c r="F8" s="25" t="inlineStr">
        <is>
          <t>Alacsony</t>
        </is>
      </c>
      <c r="G8" s="25" t="inlineStr">
        <is>
          <t>Dokumentációs eltérés, a szoftver driverének kiválasztását érintette volna.</t>
        </is>
      </c>
      <c r="H8" s="25" t="inlineStr">
        <is>
          <t>Minden előfordulás javítva (display leírás A.3).</t>
        </is>
      </c>
      <c r="I8" s="25" t="inlineStr">
        <is>
          <t>V-06</t>
        </is>
      </c>
      <c r="J8" s="25" t="inlineStr">
        <is>
          <t>Lezárva</t>
        </is>
      </c>
      <c r="K8" s="25" t="inlineStr">
        <is>
          <t>display leírás A.3</t>
        </is>
      </c>
    </row>
    <row r="9" ht="23.25" customHeight="1" s="18">
      <c r="A9" s="25" t="inlineStr">
        <is>
          <t>H-08</t>
        </is>
      </c>
      <c r="B9" s="25" t="inlineStr">
        <is>
          <t>2026-10-15</t>
        </is>
      </c>
      <c r="C9" s="25" t="inlineStr">
        <is>
          <t>Display dokumentáció</t>
        </is>
      </c>
      <c r="D9" s="25" t="inlineStr">
        <is>
          <t>A leírás számai (V_SYS, LDO-veszteség, J2 kiosztás) nem egyeztek az elkészült NYÁK-kal.</t>
        </is>
      </c>
      <c r="E9" s="25" t="inlineStr">
        <is>
          <t>Leírás–NYÁK összevetés</t>
        </is>
      </c>
      <c r="F9" s="25" t="inlineStr">
        <is>
          <t>Alacsony</t>
        </is>
      </c>
      <c r="G9" s="25" t="inlineStr">
        <is>
          <t>Az elavult adatok félrevezették volna a dolgozatot és a szoftverfejlesztést.</t>
        </is>
      </c>
      <c r="H9" s="25" t="inlineStr">
        <is>
          <t>Újraszámolás és átírás (display A.2).</t>
        </is>
      </c>
      <c r="I9" s="25" t="inlineStr">
        <is>
          <t>V-06</t>
        </is>
      </c>
      <c r="J9" s="25" t="inlineStr">
        <is>
          <t>Lezárva</t>
        </is>
      </c>
      <c r="K9" s="25" t="inlineStr">
        <is>
          <t>display leírás A.2</t>
        </is>
      </c>
    </row>
    <row r="10" ht="34.5" customHeight="1" s="18">
      <c r="A10" s="25" t="inlineStr">
        <is>
          <t>H-09</t>
        </is>
      </c>
      <c r="B10" s="25" t="inlineStr">
        <is>
          <t>2026-10-16</t>
        </is>
      </c>
      <c r="C10" s="25" t="inlineStr">
        <is>
          <t>OBD NYÁK</t>
        </is>
      </c>
      <c r="D10" s="25" t="inlineStr">
        <is>
          <t>TPS54302 VIN abs. max. 30 V, a D4 (SMAJ24A) kapocsfeszültsége nagy áramnál 38,9 V, soros ellenállás vagy biztosíték nincs (csak a D8).</t>
        </is>
      </c>
      <c r="E10" s="25" t="inlineStr">
        <is>
          <t>TI adatlap + számítás</t>
        </is>
      </c>
      <c r="F10" s="25" t="inlineStr">
        <is>
          <t>Közepes</t>
        </is>
      </c>
      <c r="G10" s="25" t="inlineStr">
        <is>
          <t>Elnyomatlan load dump esetén a buck bemenetére 30 V fölötti csúcs juthat.</t>
        </is>
      </c>
      <c r="H10" s="25" t="inlineStr">
        <is>
          <t>Nem módosítható (a NYÁK gyártásban van). Normál 12 V-os járműhálózatban elfogadható; kapocsfeszültség mérése tervezett.</t>
        </is>
      </c>
      <c r="I10" s="25" t="n"/>
      <c r="J10" s="25" t="inlineStr">
        <is>
          <t>Elfogadott kockázat</t>
        </is>
      </c>
      <c r="K10" s="25" t="inlineStr">
        <is>
          <t>OBD leírás 2.2.4</t>
        </is>
      </c>
    </row>
    <row r="11" ht="23.25" customHeight="1" s="18">
      <c r="A11" s="25" t="inlineStr">
        <is>
          <t>H-10</t>
        </is>
      </c>
      <c r="B11" s="25" t="inlineStr">
        <is>
          <t>2026-10-15</t>
        </is>
      </c>
      <c r="C11" s="25" t="inlineStr">
        <is>
          <t>OBD NYÁK</t>
        </is>
      </c>
      <c r="D11" s="25" t="inlineStr">
        <is>
          <t>JP1 egy ellenállás nélküli CANL–CANH forrasztóhíd.</t>
        </is>
      </c>
      <c r="E11" s="25" t="inlineStr">
        <is>
          <t>NYÁK átnézés</t>
        </is>
      </c>
      <c r="F11" s="25" t="inlineStr">
        <is>
          <t>Alacsony</t>
        </is>
      </c>
      <c r="G11" s="25" t="inlineStr">
        <is>
          <t>Véletlen rövidzár (híd zárása) a CAN-busz lezárása helyett.</t>
        </is>
      </c>
      <c r="H11" s="25" t="inlineStr">
        <is>
          <t>Figyelmeztetés a leírásban (JP1 nyitva üzemelés).</t>
        </is>
      </c>
      <c r="I11" s="25" t="inlineStr">
        <is>
          <t>V-06</t>
        </is>
      </c>
      <c r="J11" s="25" t="inlineStr">
        <is>
          <t>Elfogadott kockázat</t>
        </is>
      </c>
      <c r="K11" s="25" t="inlineStr">
        <is>
          <t>OBD leírás</t>
        </is>
      </c>
    </row>
    <row r="12" ht="57" customHeight="1" s="18">
      <c r="A12" s="25" t="inlineStr">
        <is>
          <t>H-11</t>
        </is>
      </c>
      <c r="B12" s="25" t="inlineStr">
        <is>
          <t>2026-10-16</t>
        </is>
      </c>
      <c r="C12" s="25" t="inlineStr">
        <is>
          <t>OBD NYÁK / firmware</t>
        </is>
      </c>
      <c r="D12" s="25" t="inlineStr">
        <is>
          <t>Alkatrész-kiválasztási hiba: a tervezett SN65HVD230 helyett SN65HVD231 került a kapcsolási rajzra/rendelésbe. A 231 sleep módjában (RS &gt; 0,75·VCC) a vevő is kikapcsol (0,1 µA), a 230 standby módjában viszont a vevő aktív marad (370 µA typ.), és az RXD követi a buszt.</t>
        </is>
      </c>
      <c r="E12" s="25" t="inlineStr">
        <is>
          <t>Adatlap</t>
        </is>
      </c>
      <c r="F12" s="25" t="inlineStr">
        <is>
          <t>Magas</t>
        </is>
      </c>
      <c r="G12" s="25" t="inlineStr">
        <is>
          <t>A funkciólista 'forgalomra ébredés' elképzelése nem teljesül; alvó eszköz nem veszi észre a gyújtás bekapcsolását.</t>
        </is>
      </c>
      <c r="H12" s="25" t="inlineStr">
        <is>
          <t>Szoftveres megoldás: light sleep + időzítős ébredés, RS = LOW és GPIO-ébresztés az RX-en rövid ablakban, listen-only ellenőrzés, forgalom hiányában visszaalvás. Alternatíva: az IC kézi cseréje SN65HVD230-ra (azonos SOIC-8 lábkiosztás).</t>
        </is>
      </c>
      <c r="I12" s="25" t="inlineStr">
        <is>
          <t>V-12</t>
        </is>
      </c>
      <c r="J12" s="25" t="inlineStr">
        <is>
          <t>Szoftveres megoldás tervezve</t>
        </is>
      </c>
      <c r="K12" s="25" t="inlineStr">
        <is>
          <t>OBD leírás 3.3</t>
        </is>
      </c>
    </row>
    <row r="13" ht="45.75" customHeight="1" s="18">
      <c r="A13" s="25" t="inlineStr">
        <is>
          <t>H-15</t>
        </is>
      </c>
      <c r="B13" s="25" t="inlineStr">
        <is>
          <t>2026-10-17</t>
        </is>
      </c>
      <c r="C13" s="25" t="inlineStr">
        <is>
          <t>Display + OBD NYÁK</t>
        </is>
      </c>
      <c r="D13" s="25" t="inlineStr">
        <is>
          <t>Egyik panelen sincs külső 32,768 kHz-es kristály. A BLE alacsony fogyasztású órája így vagy a fő XTAL (light sleep alatt is bekapcsolva marad, nagyobb áram), vagy a belső ~136 kHz-es RC (csak legacy hirdetésre/szkennelésre, kapcsolatra nem).</t>
        </is>
      </c>
      <c r="E13" s="25" t="inlineStr">
        <is>
          <t>ESP-IDF BLE low power útmutató</t>
        </is>
      </c>
      <c r="F13" s="25" t="inlineStr">
        <is>
          <t>Közepes</t>
        </is>
      </c>
      <c r="G13" s="25" t="inlineStr">
        <is>
          <t>A BLE light sleep átlagfogyasztása a tervezettnél nagyobb lehet.</t>
        </is>
      </c>
      <c r="H13" s="26" t="inlineStr">
        <is>
          <t>Mérés a lapokon; ha kevés, nincs hardveres megoldás a jelenlegi NYÁK-on, a szkennelési ablak rövidítése vagy az ébredési periódus növelése segíthet.</t>
        </is>
      </c>
      <c r="I13" s="25" t="n"/>
      <c r="J13" s="25" t="inlineStr">
        <is>
          <t>Nyitott</t>
        </is>
      </c>
      <c r="K13" s="25" t="inlineStr">
        <is>
          <t>display leírás 3.3</t>
        </is>
      </c>
    </row>
    <row r="14" ht="34.5" customHeight="1" s="18">
      <c r="A14" s="25" t="inlineStr">
        <is>
          <t>H-16</t>
        </is>
      </c>
      <c r="B14" s="25" t="inlineStr">
        <is>
          <t>2026-10-17</t>
        </is>
      </c>
      <c r="C14" s="25" t="inlineStr">
        <is>
          <t>Display szoftver / RF</t>
        </is>
      </c>
      <c r="D14" s="25" t="inlineStr">
        <is>
          <t>ESP-NOW vétel és BLE együttes használata a display S3-on: az ESP-IDF koegzisztencia-táblázata szerint az ESP-NOW RX instabil/korlátozott (az ESP-NOW TX és a BLE rendben).</t>
        </is>
      </c>
      <c r="E14" s="25" t="inlineStr">
        <is>
          <t>ESP-IDF RF Coexistence útmutató</t>
        </is>
      </c>
      <c r="F14" s="25" t="inlineStr">
        <is>
          <t>Magas</t>
        </is>
      </c>
      <c r="G14" s="25" t="inlineStr">
        <is>
          <t>Telefonnal összekötött BLE mellett csomagvesztés lehet a telemetriában.</t>
        </is>
      </c>
      <c r="H14" s="25" t="inlineStr">
        <is>
          <t>Korai teszt (spike); tartalék: telemetria BLE-n (notify vagy hirdetés), ESP-NOW csak ébresztés utáni átváltáshoz.</t>
        </is>
      </c>
      <c r="I14" s="25" t="n"/>
      <c r="J14" s="25" t="inlineStr">
        <is>
          <t>Nyitott</t>
        </is>
      </c>
      <c r="K14" s="25" t="inlineStr">
        <is>
          <t>funkciólista F-DISP-05</t>
        </is>
      </c>
    </row>
    <row r="15" ht="45.75" customHeight="1" s="18">
      <c r="A15" s="25" t="inlineStr">
        <is>
          <t>H-17</t>
        </is>
      </c>
      <c r="B15" s="25" t="inlineStr">
        <is>
          <t>2026-10-17</t>
        </is>
      </c>
      <c r="C15" s="25" t="inlineStr">
        <is>
          <t>Display szoftver / energia</t>
        </is>
      </c>
      <c r="D15" s="25" t="inlineStr">
        <is>
          <t>Modem sleep választása a display alvásához: az ESP32-S3 adatlapja szerint modem sleepben (CPU tétlen) 22 mA (80 MHz) – 32,9 mA (240 MHz) az áram, light sleepben 240 µA (+ kb. 140 µA az 8 MB octal PSRAM-nak).</t>
        </is>
      </c>
      <c r="E15" s="25" t="inlineStr">
        <is>
          <t>ESP32-S3-WROOM-1 adatlap</t>
        </is>
      </c>
      <c r="F15" s="25" t="inlineStr">
        <is>
          <t>Magas</t>
        </is>
      </c>
      <c r="G15" s="25" t="inlineStr">
        <is>
          <t>1000 mAh-s cellával a modem sleep csak kb. 1,5–2 nap üzemidőt ad; light sleepben a BLE-ablakos hallgatás átlagosan kb. 2–3 mA (becslés).</t>
        </is>
      </c>
      <c r="H15" s="25" t="inlineStr">
        <is>
          <t>Light sleep + automatikus light sleep a BLE-vel, 30 ms-os ablak 1,5 s-onként; mérés a megérkezett lapon. Modem sleep csak az OBD oldalon (járműből táplált) elfogadható.</t>
        </is>
      </c>
      <c r="I15" s="25" t="inlineStr">
        <is>
          <t>V-13</t>
        </is>
      </c>
      <c r="J15" s="25" t="inlineStr">
        <is>
          <t>Nyitott</t>
        </is>
      </c>
      <c r="K15" s="25" t="inlineStr">
        <is>
          <t>display leírás 3.3</t>
        </is>
      </c>
    </row>
    <row r="16" ht="34.5" customHeight="1" s="18">
      <c r="A16" s="25" t="inlineStr">
        <is>
          <t>H-18</t>
        </is>
      </c>
      <c r="B16" s="25" t="inlineStr">
        <is>
          <t>2026-10-17</t>
        </is>
      </c>
      <c r="C16" s="25" t="inlineStr">
        <is>
          <t>Teszthardver</t>
        </is>
      </c>
      <c r="D16" s="25" t="inlineStr">
        <is>
          <t>Az OBD node teszthez a felhasználó ESP32-S2 mini devkitje van meg C3 helyett. Az ESP32-S2-n nincs Bluetooth, így a BLE-ébresztés tesztelhetetlen rajta.</t>
        </is>
      </c>
      <c r="E16" s="25" t="inlineStr">
        <is>
          <t>Chip Series Comparison (ESP-IDF)</t>
        </is>
      </c>
      <c r="F16" s="25" t="inlineStr">
        <is>
          <t>Alacsony</t>
        </is>
      </c>
      <c r="G16" s="25" t="inlineStr">
        <is>
          <t>A BLE-ébresztő lánc (S-13) nem tesztelhető S2-n; CAN (TWAI) és ESP-NOW igen.</t>
        </is>
      </c>
      <c r="H16" s="25" t="inlineStr">
        <is>
          <t>BLE-ébresztés tesztje az ESP32-S3-on és a végleges C3-on; asztali CAN-teszthez külön transceiver (SN65HVD230 modul) kell.</t>
        </is>
      </c>
      <c r="I16" s="25" t="inlineStr">
        <is>
          <t>V-15</t>
        </is>
      </c>
      <c r="J16" s="25" t="inlineStr">
        <is>
          <t>Elfogadott kockázat</t>
        </is>
      </c>
      <c r="K16" s="25" t="inlineStr">
        <is>
          <t>–</t>
        </is>
      </c>
    </row>
    <row r="17" ht="23.25" customHeight="1" s="18">
      <c r="A17" s="25" t="inlineStr">
        <is>
          <t>H-12</t>
        </is>
      </c>
      <c r="B17" s="25" t="inlineStr">
        <is>
          <t>2026-10-15</t>
        </is>
      </c>
      <c r="C17" s="25" t="inlineStr">
        <is>
          <t>Gyártási fájlok</t>
        </is>
      </c>
      <c r="D17" s="25" t="inlineStr">
        <is>
          <t>A Gerber-export (17:55) régebbi volt, mint a mentett .kicad_pcb (17:57).</t>
        </is>
      </c>
      <c r="E17" s="25" t="inlineStr">
        <is>
          <t>Fájlidő-összevetés</t>
        </is>
      </c>
      <c r="F17" s="25" t="inlineStr">
        <is>
          <t>Közepes</t>
        </is>
      </c>
      <c r="G17" s="25" t="inlineStr">
        <is>
          <t>A gyártó a legutolsó módosítás nélkül gyárthatott volna.</t>
        </is>
      </c>
      <c r="H17" s="25" t="inlineStr">
        <is>
          <t>Újraexportálás javasolva a felhasználónak.</t>
        </is>
      </c>
      <c r="I17" s="25" t="inlineStr">
        <is>
          <t>kitöltendő</t>
        </is>
      </c>
      <c r="J17" s="25" t="inlineStr">
        <is>
          <t>Ellenőrizendő</t>
        </is>
      </c>
      <c r="K17" s="25" t="inlineStr">
        <is>
          <t>–</t>
        </is>
      </c>
    </row>
    <row r="18" ht="23.25" customHeight="1" s="18">
      <c r="A18" s="25" t="inlineStr">
        <is>
          <t>H-13</t>
        </is>
      </c>
      <c r="B18" s="25" t="inlineStr">
        <is>
          <t>2026-10-15</t>
        </is>
      </c>
      <c r="C18" s="25" t="inlineStr">
        <is>
          <t>JLCPCB rendelés</t>
        </is>
      </c>
      <c r="D18" s="25" t="inlineStr">
        <is>
          <t>Display NYÁK Y9 6%-on indult, mielőtt a hiba kiderült volna; alkatrészt a gyártás indulása után cserélni nem lehet.</t>
        </is>
      </c>
      <c r="E18" s="25" t="inlineStr">
        <is>
          <t>JLCPCB válasz (Carrie)</t>
        </is>
      </c>
      <c r="F18" s="25" t="inlineStr">
        <is>
          <t>Magas</t>
        </is>
      </c>
      <c r="G18" s="25" t="inlineStr">
        <is>
          <t>Az eredeti PCB hibás (Y9), alkatrész-BOM nem módosítható.</t>
        </is>
      </c>
      <c r="H18" s="25" t="inlineStr">
        <is>
          <t>2. opció választva: új PCB (Y10) a régi tételhez fűzve, alkatrészek változatlanok, kézi javítás a lapok megérkezése után.</t>
        </is>
      </c>
      <c r="I18" s="25" t="inlineStr">
        <is>
          <t>V-03</t>
        </is>
      </c>
      <c r="J18" s="25" t="inlineStr">
        <is>
          <t>Kezelve</t>
        </is>
      </c>
      <c r="K18" s="25" t="inlineStr">
        <is>
          <t>–</t>
        </is>
      </c>
    </row>
    <row r="19" ht="23.25" customHeight="1" s="18">
      <c r="A19" s="25" t="inlineStr">
        <is>
          <t>H-14</t>
        </is>
      </c>
      <c r="B19" s="25" t="inlineStr">
        <is>
          <t>2026-10-15</t>
        </is>
      </c>
      <c r="C19" s="25" t="inlineStr">
        <is>
          <t>JLCPCB rendelés</t>
        </is>
      </c>
      <c r="D19" s="25" t="inlineStr">
        <is>
          <t>Edge rail (≥ 5 mm) hiányzott, utólagos hozzáadása 18 EUR extra költség.</t>
        </is>
      </c>
      <c r="E19" s="25" t="inlineStr">
        <is>
          <t>JLCPCB válasz</t>
        </is>
      </c>
      <c r="F19" s="25" t="inlineStr">
        <is>
          <t>Alacsony</t>
        </is>
      </c>
      <c r="G19" s="25" t="inlineStr">
        <is>
          <t>Többletköltség (18 EUR).</t>
        </is>
      </c>
      <c r="H19" s="25" t="inlineStr">
        <is>
          <t>Befizetve. Jövőben PCB + SMT együtt rendelve a gyártó maga adja hozzá a szegélyt.</t>
        </is>
      </c>
      <c r="I19" s="25" t="inlineStr">
        <is>
          <t>V-05</t>
        </is>
      </c>
      <c r="J19" s="25" t="inlineStr">
        <is>
          <t>Lezárva</t>
        </is>
      </c>
      <c r="K19" s="25" t="inlineStr">
        <is>
          <t>–</t>
        </is>
      </c>
    </row>
    <row r="20" ht="23.25" customHeight="1" s="18">
      <c r="A20" s="27" t="inlineStr">
        <is>
          <t>H-19</t>
        </is>
      </c>
      <c r="B20" s="27" t="inlineStr">
        <is>
          <t>2026-10-24</t>
        </is>
      </c>
      <c r="C20" s="27" t="inlineStr">
        <is>
          <t>Display (szoftver)</t>
        </is>
      </c>
      <c r="D20" s="27" t="inlineStr">
        <is>
          <t>Az esp_lcd_st77916 komponens alapértelmezett init-táblája egy másik panelhez készült: a Waveshare 1,85″ modulon fakó, csíkos, hamis színű kép (piros helyett rózsaszín/kék árnyalat, oszloponkénti csíkok, 40 soros sávok, a keskeny elemek nem jelentek meg).</t>
        </is>
      </c>
      <c r="E20" s="27" t="inlineStr">
        <is>
          <t>Színteszt a devkiten (videó)</t>
        </is>
      </c>
      <c r="F20" s="27" t="inlineStr">
        <is>
          <t>Közepes</t>
        </is>
      </c>
      <c r="G20" s="27" t="inlineStr">
        <is>
          <t>Az M2 (kijelző élesztése) elakadt. A hiba stabil volt 5 és 20 MHz-en is, tehát nem jelhiba.</t>
        </is>
      </c>
      <c r="H20" s="27" t="inlineStr">
        <is>
          <t>A Waveshare 1,85″ panel saját, 184 soros init-táblája (ESP32_Display_Panel, Espressif, Apache-2.0) beépítve, menuconfigban választható. Tévutak: 18 bites pixelformátum gyanúja; a 3Ah = 55h újraküldése rontott a képen, visszavonva; az 5 MHz-es próba kizárta a jelminőséget.</t>
        </is>
      </c>
      <c r="I20" s="27" t="inlineStr">
        <is>
          <t>V-36</t>
        </is>
      </c>
      <c r="J20" s="27" t="inlineStr">
        <is>
          <t>Lezárva</t>
        </is>
      </c>
      <c r="K20" s="27" t="inlineStr">
        <is>
          <t>disp_lcd/src/st77916_waveshare_1_85.c</t>
        </is>
      </c>
    </row>
    <row r="21" ht="23.25" customHeight="1" s="18">
      <c r="A21" s="27" t="inlineStr">
        <is>
          <t>H-20</t>
        </is>
      </c>
      <c r="B21" s="27" t="inlineStr">
        <is>
          <t>2026-10-24</t>
        </is>
      </c>
      <c r="C21" s="27" t="inlineStr">
        <is>
          <t>Display (szoftver)</t>
        </is>
      </c>
      <c r="D21" s="27" t="inlineStr">
        <is>
          <t>Az ST77916 regisztereinek visszaolvasása (04h azonosító, 0Ch pixelformátum) csak 00 bájtokat ad.</t>
        </is>
      </c>
      <c r="E21" s="27" t="inlineStr">
        <is>
          <t>Diagnosztikai kód</t>
        </is>
      </c>
      <c r="F21" s="27" t="inlineStr">
        <is>
          <t>Alacsony</t>
        </is>
      </c>
      <c r="G21" s="27" t="inlineStr">
        <is>
          <t>A panel állapota szoftverből nem ellenőrizhető; a hibakeresés csak a kép alapján lehetséges.</t>
        </is>
      </c>
      <c r="H21" s="27" t="inlineStr">
        <is>
          <t>Valószínű ok: a modul 15 pólusú csatlakozóján lévő szintillesztő csak a kijelző felé vezet (nem igazolt). A diagnosztika kivéve a kódból.</t>
        </is>
      </c>
      <c r="I21" s="27" t="inlineStr">
        <is>
          <t>V-36</t>
        </is>
      </c>
      <c r="J21" s="27" t="inlineStr">
        <is>
          <t>Elfogadott kockázat</t>
        </is>
      </c>
      <c r="K21" s="27" t="inlineStr">
        <is>
          <t>–</t>
        </is>
      </c>
    </row>
    <row r="22" ht="23.25" customHeight="1" s="18">
      <c r="A22" s="27" t="inlineStr">
        <is>
          <t>H-21</t>
        </is>
      </c>
      <c r="B22" s="27" t="inlineStr">
        <is>
          <t>2026-10-24</t>
        </is>
      </c>
      <c r="C22" s="27" t="inlineStr">
        <is>
          <t>OBD (szoftver)</t>
        </is>
      </c>
      <c r="D22" s="27" t="inlineStr">
        <is>
          <t>Az összesítő naplósor „(elavult)” jelzése fix 500 ms-os határral dolgozott, ezért a 2 s-onként lekérdezett feszültség minden második másodpercben elavultnak látszott.</t>
        </is>
      </c>
      <c r="E22" s="27" t="inlineStr">
        <is>
          <t>A CAN-teszt soros naplójának átnézése</t>
        </is>
      </c>
      <c r="F22" s="27" t="inlineStr">
        <is>
          <t>Alacsony</t>
        </is>
      </c>
      <c r="G22" s="27" t="inlineStr">
        <is>
          <t>Csak a konzolnaplót érintette, az adatot nem.</t>
        </is>
      </c>
      <c r="H22" s="27" t="inlineStr">
        <is>
          <t>A határ a PID periódusának kétszerese.</t>
        </is>
      </c>
      <c r="I22" s="27" t="inlineStr">
        <is>
          <t>V-36</t>
        </is>
      </c>
      <c r="J22" s="27" t="inlineStr">
        <is>
          <t>Lezárva</t>
        </is>
      </c>
      <c r="K22" s="27" t="inlineStr">
        <is>
          <t>obd_node/main/app_main.cpp</t>
        </is>
      </c>
    </row>
    <row r="23" ht="23.25" customHeight="1" s="18">
      <c r="A23" s="27" t="inlineStr">
        <is>
          <t>H-22</t>
        </is>
      </c>
      <c r="B23" s="27" t="inlineStr">
        <is>
          <t>2026-10-24</t>
        </is>
      </c>
      <c r="C23" s="27" t="inlineStr">
        <is>
          <t>PC-s tesztek</t>
        </is>
      </c>
      <c r="D23" s="27" t="inlineStr">
        <is>
          <t>A host_test CMakeLists.txt minden fordítónak GCC-kapcsolókat adott (-Wall -Wextra -Wpedantic), ezért Windows-on MSVC-vel nem fordult; /W4 mellett két figyelmeztetés (C4244 szűkítés, C4701 kezdőérték nélküli változó).</t>
        </is>
      </c>
      <c r="E23" s="27" t="inlineStr">
        <is>
          <t>A PC-s tesztek első futtatása Windows-on</t>
        </is>
      </c>
      <c r="F23" s="27" t="inlineStr">
        <is>
          <t>Alacsony</t>
        </is>
      </c>
      <c r="G23" s="27" t="inlineStr">
        <is>
          <t>A PC-s tesztek Windows-on nem futottak.</t>
        </is>
      </c>
      <c r="H23" s="27" t="inlineStr">
        <is>
          <t>MSVC-ág (/W4 /utf-8), a két figyelmeztetés javítva; 5/5 teszt átmegy.</t>
        </is>
      </c>
      <c r="I23" s="27" t="inlineStr">
        <is>
          <t>V-34</t>
        </is>
      </c>
      <c r="J23" s="27" t="inlineStr">
        <is>
          <t>Lezárva</t>
        </is>
      </c>
      <c r="K23" s="27" t="inlineStr">
        <is>
          <t>firmware/tools/host_test</t>
        </is>
      </c>
    </row>
  </sheetData>
  <autoFilter ref="A1:K19"/>
  <dataValidations count="2">
    <dataValidation sqref="F2:F500" showDropDown="0" showInputMessage="0" showErrorMessage="0" allowBlank="1" type="list" errorStyle="stop" operator="between">
      <formula1>"Kritikus,Magas,Közepes,Alacsony"</formula1>
      <formula2>0</formula2>
    </dataValidation>
    <dataValidation sqref="J2:J500" showDropDown="0" showInputMessage="0" showErrorMessage="0" allowBlank="1" type="list" errorStyle="stop" operator="between">
      <formula1>"Nyitott,Tervezett (kézi),Tervezett (opcionális),Javítva (új NYÁK),Kezelve,Lezárva,Elfogadott kockázat,Ellenőrizendő,Szoftveres megoldás tervezve"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12" customWidth="1" style="17" min="2" max="2"/>
    <col width="22" customWidth="1" style="17" min="3" max="3"/>
    <col width="70" customWidth="1" style="17" min="4" max="4"/>
    <col width="32" customWidth="1" style="17" min="5" max="5"/>
    <col width="18" customWidth="1" style="17" min="6" max="6"/>
    <col width="30" customWidth="1" style="17" min="7" max="7"/>
    <col width="16" customWidth="1" style="17" min="8" max="8"/>
  </cols>
  <sheetData>
    <row r="1" ht="30" customHeight="1" s="18">
      <c r="A1" s="24" t="inlineStr">
        <is>
          <t>Azonosító</t>
        </is>
      </c>
      <c r="B1" s="24" t="inlineStr">
        <is>
          <t>Dátum</t>
        </is>
      </c>
      <c r="C1" s="24" t="inlineStr">
        <is>
          <t>Terület</t>
        </is>
      </c>
      <c r="D1" s="24" t="inlineStr">
        <is>
          <t>Változtatás leírása</t>
        </is>
      </c>
      <c r="E1" s="24" t="inlineStr">
        <is>
          <t>Ok / forrás</t>
        </is>
      </c>
      <c r="F1" s="24" t="inlineStr">
        <is>
          <t>Kapcsolódó hiba</t>
        </is>
      </c>
      <c r="G1" s="24" t="inlineStr">
        <is>
          <t>Hivatkozás</t>
        </is>
      </c>
      <c r="H1" s="24" t="inlineStr">
        <is>
          <t>Státusz</t>
        </is>
      </c>
    </row>
    <row r="2" ht="23.25" customHeight="1" s="18">
      <c r="A2" s="25" t="inlineStr">
        <is>
          <t>V-01</t>
        </is>
      </c>
      <c r="B2" s="25" t="inlineStr">
        <is>
          <t>2026-10-07</t>
        </is>
      </c>
      <c r="C2" s="25" t="inlineStr">
        <is>
          <t>Dokumentáció</t>
        </is>
      </c>
      <c r="D2" s="25" t="inlineStr">
        <is>
          <t>OBD műszaki leírás első kiadása (Rev. A): hardver- és firmware-architektúra, mérési útmutató.</t>
        </is>
      </c>
      <c r="E2" s="25" t="inlineStr">
        <is>
          <t>Kiinduló dokumentáció</t>
        </is>
      </c>
      <c r="F2" s="25" t="inlineStr">
        <is>
          <t>–</t>
        </is>
      </c>
      <c r="G2" s="25" t="inlineStr">
        <is>
          <t>obd_telemetria_muszaki_leiras.md</t>
        </is>
      </c>
      <c r="H2" s="25" t="inlineStr">
        <is>
          <t>Lezárva</t>
        </is>
      </c>
    </row>
    <row r="3" ht="23.25" customHeight="1" s="18">
      <c r="A3" s="25" t="inlineStr">
        <is>
          <t>V-02</t>
        </is>
      </c>
      <c r="B3" s="25" t="inlineStr">
        <is>
          <t>2026-10-13</t>
        </is>
      </c>
      <c r="C3" s="25" t="inlineStr">
        <is>
          <t>Dokumentáció</t>
        </is>
      </c>
      <c r="D3" s="25" t="inlineStr">
        <is>
          <t>Display műszaki leírás pontosítása (Rev. A.1): C7/C8 10 µF, Q1 hibájának dokumentálása.</t>
        </is>
      </c>
      <c r="E3" s="25" t="inlineStr">
        <is>
          <t>Pontosítás kapcsolási rajz/NYÁK szerint</t>
        </is>
      </c>
      <c r="F3" s="25" t="inlineStr">
        <is>
          <t>H-01</t>
        </is>
      </c>
      <c r="G3" s="25" t="inlineStr">
        <is>
          <t>display_node_muszaki_leiras.md</t>
        </is>
      </c>
      <c r="H3" s="25" t="inlineStr">
        <is>
          <t>Lezárva</t>
        </is>
      </c>
    </row>
    <row r="4" ht="23.25" customHeight="1" s="18">
      <c r="A4" s="25" t="inlineStr">
        <is>
          <t>V-03</t>
        </is>
      </c>
      <c r="B4" s="25" t="inlineStr">
        <is>
          <t>2026-10-15</t>
        </is>
      </c>
      <c r="C4" s="25" t="inlineStr">
        <is>
          <t>Display NYÁK</t>
        </is>
      </c>
      <c r="D4" s="25" t="inlineStr">
        <is>
          <t>Új, javított NYÁK (Y10-13775771A): csak Q1 2./3. pad hálózata és a rézvezetés változott; alkatrészlista és CPL azonos. A korábbi Y9 rendelés mellé fűzve.</t>
        </is>
      </c>
      <c r="E4" s="25" t="inlineStr">
        <is>
          <t>JLCPCB 2. opció (Carrie)</t>
        </is>
      </c>
      <c r="F4" s="25" t="inlineStr">
        <is>
          <t>H-01, H-13</t>
        </is>
      </c>
      <c r="G4" s="25" t="inlineStr">
        <is>
          <t>display NYÁK (proj4)</t>
        </is>
      </c>
      <c r="H4" s="25" t="inlineStr">
        <is>
          <t>Végrehajtva</t>
        </is>
      </c>
    </row>
    <row r="5" ht="34.5" customHeight="1" s="18">
      <c r="A5" s="25" t="inlineStr">
        <is>
          <t>V-04</t>
        </is>
      </c>
      <c r="B5" s="25" t="inlineStr">
        <is>
          <t>2026-10-15</t>
        </is>
      </c>
      <c r="C5" s="25" t="inlineStr">
        <is>
          <t>Display kézi utómunka</t>
        </is>
      </c>
      <c r="D5" s="25" t="inlineStr">
        <is>
          <t>Lapok megérkezése után: F1 → 1 A, R17 ∥ 1 kΩ, C6 ∥ 1 µF, opcionálisan D2 → SMAJ6.0A. BOM nem módosítható, mert az alkatrészek a gyártás indulása után nem cserélhetők.</t>
        </is>
      </c>
      <c r="E5" s="25" t="inlineStr">
        <is>
          <t>Kézi javítás</t>
        </is>
      </c>
      <c r="F5" s="25" t="inlineStr">
        <is>
          <t>H-02, H-03, H-04, H-05</t>
        </is>
      </c>
      <c r="G5" s="25" t="inlineStr">
        <is>
          <t>display leírás 3.2.4</t>
        </is>
      </c>
      <c r="H5" s="25" t="inlineStr">
        <is>
          <t>Tervezett</t>
        </is>
      </c>
    </row>
    <row r="6" ht="15" customHeight="1" s="18">
      <c r="A6" s="25" t="inlineStr">
        <is>
          <t>V-05</t>
        </is>
      </c>
      <c r="B6" s="25" t="inlineStr">
        <is>
          <t>2026-10-15</t>
        </is>
      </c>
      <c r="C6" s="25" t="inlineStr">
        <is>
          <t>Rendelés</t>
        </is>
      </c>
      <c r="D6" s="25" t="inlineStr">
        <is>
          <t>Edge rail pótdíj 18 EUR befizetve.</t>
        </is>
      </c>
      <c r="E6" s="25" t="inlineStr">
        <is>
          <t>JLCPCB (Carrie)</t>
        </is>
      </c>
      <c r="F6" s="25" t="inlineStr">
        <is>
          <t>H-14</t>
        </is>
      </c>
      <c r="G6" s="25" t="inlineStr">
        <is>
          <t>–</t>
        </is>
      </c>
      <c r="H6" s="25" t="inlineStr">
        <is>
          <t>Végrehajtva</t>
        </is>
      </c>
    </row>
    <row r="7" ht="34.5" customHeight="1" s="18">
      <c r="A7" s="25" t="inlineStr">
        <is>
          <t>V-06</t>
        </is>
      </c>
      <c r="B7" s="25" t="inlineStr">
        <is>
          <t>2026-10-15</t>
        </is>
      </c>
      <c r="C7" s="25" t="inlineStr">
        <is>
          <t>Dokumentáció</t>
        </is>
      </c>
      <c r="D7" s="25" t="inlineStr">
        <is>
          <t>Display leírás Rev. A.2 (NYÁK szerinti átírás) és A.3 (Waveshare 1,85″ modul, ST77916 + CST816S); OBD leírás Rev. A.1 (D8/D2 diódás VAGY, F1 csak USB-n, JP1, JP2).</t>
        </is>
      </c>
      <c r="E7" s="25" t="inlineStr">
        <is>
          <t>Revíziós szakasz bevezetése a visszakövethetőségért</t>
        </is>
      </c>
      <c r="F7" s="25" t="inlineStr">
        <is>
          <t>H-07, H-08, H-10</t>
        </is>
      </c>
      <c r="G7" s="25" t="inlineStr">
        <is>
          <t>display A.2/A.3, OBD A.1</t>
        </is>
      </c>
      <c r="H7" s="25" t="inlineStr">
        <is>
          <t>Végrehajtva</t>
        </is>
      </c>
    </row>
    <row r="8" ht="23.25" customHeight="1" s="18">
      <c r="A8" s="25" t="inlineStr">
        <is>
          <t>V-07</t>
        </is>
      </c>
      <c r="B8" s="25" t="inlineStr">
        <is>
          <t>2026-10-15</t>
        </is>
      </c>
      <c r="C8" s="25" t="inlineStr">
        <is>
          <t>Kijelző</t>
        </is>
      </c>
      <c r="D8" s="25" t="inlineStr">
        <is>
          <t>Kijelző kiválasztva: Waveshare 1,85″ érintős LCD modul (SKU 35079), 360 × 360, ST77916 QSPI, CST816S érintő. A J2 1–15. láb egyezik a gyártói kiosztással.</t>
        </is>
      </c>
      <c r="E8" s="25" t="inlineStr">
        <is>
          <t>Termékoldal-összevetés</t>
        </is>
      </c>
      <c r="F8" s="25" t="inlineStr">
        <is>
          <t>H-07</t>
        </is>
      </c>
      <c r="G8" s="25" t="inlineStr">
        <is>
          <t>display leírás 2.2</t>
        </is>
      </c>
      <c r="H8" s="25" t="inlineStr">
        <is>
          <t>Végrehajtva</t>
        </is>
      </c>
    </row>
    <row r="9" ht="23.25" customHeight="1" s="18">
      <c r="A9" s="25" t="inlineStr">
        <is>
          <t>V-08</t>
        </is>
      </c>
      <c r="B9" s="25" t="inlineStr">
        <is>
          <t>2026-10-15</t>
        </is>
      </c>
      <c r="C9" s="25" t="inlineStr">
        <is>
          <t>OBD NYÁK</t>
        </is>
      </c>
      <c r="D9" s="25" t="inlineStr">
        <is>
          <t>Az OBD NYÁK átnézve: komolyabb hiba nincs; alkatrészcsere nem szükséges (csak a kijelző NYÁK-ján kell kézzel módosítani).</t>
        </is>
      </c>
      <c r="E9" s="25" t="inlineStr">
        <is>
          <t>NYÁK-ellenőrzés</t>
        </is>
      </c>
      <c r="F9" s="25" t="inlineStr">
        <is>
          <t>–</t>
        </is>
      </c>
      <c r="G9" s="25" t="inlineStr">
        <is>
          <t>TestProject_02</t>
        </is>
      </c>
      <c r="H9" s="25" t="inlineStr">
        <is>
          <t>Végrehajtva</t>
        </is>
      </c>
    </row>
    <row r="10" ht="23.25" customHeight="1" s="18">
      <c r="A10" s="25" t="inlineStr">
        <is>
          <t>V-09</t>
        </is>
      </c>
      <c r="B10" s="25" t="inlineStr">
        <is>
          <t>2026-10-15</t>
        </is>
      </c>
      <c r="C10" s="25" t="inlineStr">
        <is>
          <t>Fejlesztői környezet</t>
        </is>
      </c>
      <c r="D10" s="25" t="inlineStr">
        <is>
          <t>ESP-IDF marad VS Code-ban; a két projekt közös komponenst használ egy GitHub-repóban, ahol a KiCad fájlok is vannak.</t>
        </is>
      </c>
      <c r="E10" s="25" t="inlineStr">
        <is>
          <t>Felhasználói döntés</t>
        </is>
      </c>
      <c r="F10" s="25" t="inlineStr">
        <is>
          <t>–</t>
        </is>
      </c>
      <c r="G10" s="25" t="inlineStr">
        <is>
          <t>–</t>
        </is>
      </c>
      <c r="H10" s="25" t="inlineStr">
        <is>
          <t>Eldöntve</t>
        </is>
      </c>
    </row>
    <row r="11" ht="23.25" customHeight="1" s="18">
      <c r="A11" s="25" t="inlineStr">
        <is>
          <t>V-10</t>
        </is>
      </c>
      <c r="B11" s="25" t="inlineStr">
        <is>
          <t>2026-10-16</t>
        </is>
      </c>
      <c r="C11" s="25" t="inlineStr">
        <is>
          <t>Dokumentáció</t>
        </is>
      </c>
      <c r="D11" s="25" t="inlineStr">
        <is>
          <t>OBD leírás Rev. A.2: TPS54302 adatlapi értékek (abs. max 30 V, Iq 45 µA), SN65HVD231 sleep mód korlátai.</t>
        </is>
      </c>
      <c r="E11" s="25" t="inlineStr">
        <is>
          <t>Adatlap-ellenőrzés</t>
        </is>
      </c>
      <c r="F11" s="25" t="inlineStr">
        <is>
          <t>H-09, H-11</t>
        </is>
      </c>
      <c r="G11" s="25" t="inlineStr">
        <is>
          <t>obd leírás A.2</t>
        </is>
      </c>
      <c r="H11" s="25" t="inlineStr">
        <is>
          <t>Végrehajtva</t>
        </is>
      </c>
    </row>
    <row r="12" ht="34.5" customHeight="1" s="18">
      <c r="A12" s="25" t="inlineStr">
        <is>
          <t>V-12</t>
        </is>
      </c>
      <c r="B12" s="25" t="inlineStr">
        <is>
          <t>2026-10-17</t>
        </is>
      </c>
      <c r="C12" s="25" t="inlineStr">
        <is>
          <t>Tervezés</t>
        </is>
      </c>
      <c r="D12" s="25" t="inlineStr">
        <is>
          <t>OBD key-on érzékelés: light sleep + időzítős ébredés, RX-GPIO ébresztés listen-only ablakban (SN65HVD231-en nincs busz-ébresztés); az IC SN65HVD230-ra cserélése kézzel alternatíva.</t>
        </is>
      </c>
      <c r="E12" s="25" t="inlineStr">
        <is>
          <t>Felhasználói döntés az alkatrész-kiválasztási hiba után</t>
        </is>
      </c>
      <c r="F12" s="25" t="inlineStr">
        <is>
          <t>H-11</t>
        </is>
      </c>
      <c r="G12" s="25" t="inlineStr">
        <is>
          <t>OBD leírás 3.3</t>
        </is>
      </c>
      <c r="H12" s="25" t="inlineStr">
        <is>
          <t>Eldöntve</t>
        </is>
      </c>
    </row>
    <row r="13" ht="34.5" customHeight="1" s="18">
      <c r="A13" s="25" t="inlineStr">
        <is>
          <t>V-13</t>
        </is>
      </c>
      <c r="B13" s="25" t="inlineStr">
        <is>
          <t>2026-10-17</t>
        </is>
      </c>
      <c r="C13" s="25" t="inlineStr">
        <is>
          <t>Tervezés</t>
        </is>
      </c>
      <c r="D13" s="25" t="inlineStr">
        <is>
          <t>Display ébresztés: light sleep, BLE szkennelés kis kitöltéssel (pl. 15 ms / 1,5 s), OBD gyors BLE hirdetéssel ébreszti, majd ESP-NOW-ra vagy BLE-re váltás. Telefon: iOS elsődleges (AMS), cél: általános.</t>
        </is>
      </c>
      <c r="E13" s="25" t="inlineStr">
        <is>
          <t>Felhasználói döntés</t>
        </is>
      </c>
      <c r="F13" s="25" t="inlineStr">
        <is>
          <t>H-15, H-16</t>
        </is>
      </c>
      <c r="G13" s="25" t="inlineStr">
        <is>
          <t>funkciólista F-DISP-06/07</t>
        </is>
      </c>
      <c r="H13" s="25" t="inlineStr">
        <is>
          <t>Eldöntve</t>
        </is>
      </c>
    </row>
    <row r="14" ht="34.5" customHeight="1" s="18">
      <c r="A14" s="25" t="inlineStr">
        <is>
          <t>V-14</t>
        </is>
      </c>
      <c r="B14" s="25" t="inlineStr">
        <is>
          <t>2026-10-17</t>
        </is>
      </c>
      <c r="C14" s="25" t="inlineStr">
        <is>
          <t>Kijelző</t>
        </is>
      </c>
      <c r="D14" s="25" t="inlineStr">
        <is>
          <t>Korábban tervezett 1,28″-es kerek kijelző túl kicsinek bizonyult, ezért váltás a 1,85″-es (ST77916) modulra; a funkciólista IC-adatai (GC9A01/ST7789, CST816D) ezt nem követték.</t>
        </is>
      </c>
      <c r="E14" s="25" t="inlineStr">
        <is>
          <t>Felhasználói közlés</t>
        </is>
      </c>
      <c r="F14" s="25" t="inlineStr">
        <is>
          <t>H-07</t>
        </is>
      </c>
      <c r="G14" s="25" t="inlineStr">
        <is>
          <t>display leírás 2.2</t>
        </is>
      </c>
      <c r="H14" s="25" t="inlineStr">
        <is>
          <t>Lezárva</t>
        </is>
      </c>
    </row>
    <row r="15" ht="23.25" customHeight="1" s="18">
      <c r="A15" s="25" t="inlineStr">
        <is>
          <t>V-15</t>
        </is>
      </c>
      <c r="B15" s="25" t="inlineStr">
        <is>
          <t>2026-10-17</t>
        </is>
      </c>
      <c r="C15" s="25" t="inlineStr">
        <is>
          <t>Teszthardver</t>
        </is>
      </c>
      <c r="D15" s="25" t="inlineStr">
        <is>
          <t>Otthoni teszteszközök: ESP32-S3 devkit és ESP32-S2 mini (az OBD C3 helyett). A végleges hardver C3 marad.</t>
        </is>
      </c>
      <c r="E15" s="25" t="inlineStr">
        <is>
          <t>Felhasználói közlés</t>
        </is>
      </c>
      <c r="F15" s="25" t="inlineStr">
        <is>
          <t>H-18</t>
        </is>
      </c>
      <c r="G15" s="25" t="inlineStr">
        <is>
          <t>–</t>
        </is>
      </c>
      <c r="H15" s="25" t="inlineStr">
        <is>
          <t>Eldöntve</t>
        </is>
      </c>
    </row>
    <row r="16" ht="34.5" customHeight="1" s="18">
      <c r="A16" s="25" t="inlineStr">
        <is>
          <t>V-16</t>
        </is>
      </c>
      <c r="B16" s="25" t="inlineStr">
        <is>
          <t>2026-10-17</t>
        </is>
      </c>
      <c r="C16" s="25" t="inlineStr">
        <is>
          <t>Tervezés</t>
        </is>
      </c>
      <c r="D16" s="25" t="inlineStr">
        <is>
          <t>Új követelmények: VIN kiolvasása minden indításnál, gyártó azonosítása a WMI-ből, márkalogó és egyszerű animáció a kijelzőn. Általános működés bármilyen autóhoz (nincs járműspecifikus beállítás).</t>
        </is>
      </c>
      <c r="E16" s="25" t="inlineStr">
        <is>
          <t>Felhasználói döntés</t>
        </is>
      </c>
      <c r="F16" s="25" t="inlineStr">
        <is>
          <t>–</t>
        </is>
      </c>
      <c r="G16" s="25" t="inlineStr">
        <is>
          <t>Szoftver lap S-18, S-19</t>
        </is>
      </c>
      <c r="H16" s="25" t="inlineStr">
        <is>
          <t>Eldöntve</t>
        </is>
      </c>
    </row>
    <row r="17" ht="34.5" customHeight="1" s="18">
      <c r="A17" s="25" t="inlineStr">
        <is>
          <t>V-17</t>
        </is>
      </c>
      <c r="B17" s="25" t="inlineStr">
        <is>
          <t>2026-10-18</t>
        </is>
      </c>
      <c r="C17" s="25" t="inlineStr">
        <is>
          <t>Teszthardver</t>
        </is>
      </c>
      <c r="D17" s="25" t="inlineStr">
        <is>
          <t>Végleges otthoni tesztösszeállítás: ESP32-S3-WROOM-1-N16R8 devkit (display), ESP32-C3 SuperMini (OBD node), ESP32-S2 mini (ECU-szimulátor), két SN65HVD230 CAN modul (a HVD230 viselkedése így is kipróbálható).</t>
        </is>
      </c>
      <c r="E17" s="25" t="inlineStr">
        <is>
          <t>Felhasználói közlés</t>
        </is>
      </c>
      <c r="F17" s="25" t="inlineStr">
        <is>
          <t>H-18</t>
        </is>
      </c>
      <c r="G17" s="25" t="inlineStr">
        <is>
          <t>–</t>
        </is>
      </c>
      <c r="H17" s="25" t="inlineStr">
        <is>
          <t>Eldöntve</t>
        </is>
      </c>
    </row>
    <row r="18" ht="15" customHeight="1" s="18">
      <c r="A18" s="25" t="inlineStr">
        <is>
          <t>V-11</t>
        </is>
      </c>
      <c r="B18" s="25" t="inlineStr">
        <is>
          <t>2026-10-16</t>
        </is>
      </c>
      <c r="C18" s="25" t="inlineStr">
        <is>
          <t>Naplózás</t>
        </is>
      </c>
      <c r="D18" s="25" t="inlineStr">
        <is>
          <t>Excel napló elindítva (hibák, változtatások, tervezés, nyitott kérdések).</t>
        </is>
      </c>
      <c r="E18" s="25" t="inlineStr">
        <is>
          <t>Felhasználói kérés</t>
        </is>
      </c>
      <c r="F18" s="25" t="inlineStr">
        <is>
          <t>–</t>
        </is>
      </c>
      <c r="G18" s="25" t="inlineStr">
        <is>
          <t>fejlesztesi_naplo.xlsx</t>
        </is>
      </c>
      <c r="H18" s="25" t="inlineStr">
        <is>
          <t>Végrehajtva</t>
        </is>
      </c>
    </row>
    <row r="19" ht="15" customHeight="1" s="18">
      <c r="A19" s="25" t="inlineStr">
        <is>
          <t>V-18</t>
        </is>
      </c>
      <c r="B19" s="25" t="inlineStr">
        <is>
          <t>2026-10-18</t>
        </is>
      </c>
      <c r="C19" s="25" t="inlineStr">
        <is>
          <t>Dokumentáció</t>
        </is>
      </c>
      <c r="D19" s="25" t="inlineStr">
        <is>
          <t>Egyetemi szakdolgozati sablon (szd_ stílusok) bevezetése a FOSZK útmutató formázása helyett: TNR 12, 1,5 sorköz, 0,7 cm behúzás, számozott [n] hivatkozás</t>
        </is>
      </c>
      <c r="E19" s="25" t="inlineStr">
        <is>
          <t>Az egyetemi sablon .docx és a két szakirányú javaslat (mikrovezérlős, szoftveres)</t>
        </is>
      </c>
      <c r="F19" s="25" t="inlineStr">
        <is>
          <t>–</t>
        </is>
      </c>
      <c r="G19" s="25" t="inlineStr">
        <is>
          <t>2_hardver.md/.docx</t>
        </is>
      </c>
      <c r="H19" s="25" t="inlineStr">
        <is>
          <t>Végrehajtva</t>
        </is>
      </c>
    </row>
    <row r="20" ht="15" customHeight="1" s="18">
      <c r="A20" s="25" t="inlineStr">
        <is>
          <t>V-19</t>
        </is>
      </c>
      <c r="B20" s="25" t="inlineStr">
        <is>
          <t>2026-10-18</t>
        </is>
      </c>
      <c r="C20" s="25" t="inlineStr">
        <is>
          <t>Dokumentáció</t>
        </is>
      </c>
      <c r="D20" s="25" t="inlineStr">
        <is>
          <t>Egy közös dolgozat, hardveres és szoftveres rész elkülönítve; hivatkozás pontszámmal</t>
        </is>
      </c>
      <c r="E20" s="25" t="inlineStr">
        <is>
          <t>Hallgatói döntés</t>
        </is>
      </c>
      <c r="F20" s="25" t="inlineStr">
        <is>
          <t>–</t>
        </is>
      </c>
      <c r="G20" s="25" t="inlineStr">
        <is>
          <t>2_hardver.md</t>
        </is>
      </c>
      <c r="H20" s="25" t="inlineStr">
        <is>
          <t>Végrehajtva</t>
        </is>
      </c>
    </row>
    <row r="21" ht="15" customHeight="1" s="18">
      <c r="A21" s="25" t="inlineStr">
        <is>
          <t>V-20</t>
        </is>
      </c>
      <c r="B21" s="25" t="inlineStr">
        <is>
          <t>2026-10-18</t>
        </is>
      </c>
      <c r="C21" s="25" t="inlineStr">
        <is>
          <t>Dokumentáció</t>
        </is>
      </c>
      <c r="D21" s="25" t="inlineStr">
        <is>
          <t>2. fejezet (Hardver tervezése) első teljes változata</t>
        </is>
      </c>
      <c r="E21" s="25" t="inlineStr">
        <is>
          <t>Hallgatói kérés</t>
        </is>
      </c>
      <c r="F21" s="25" t="inlineStr">
        <is>
          <t>–</t>
        </is>
      </c>
      <c r="G21" s="25" t="inlineStr">
        <is>
          <t>2_hardver.docx</t>
        </is>
      </c>
      <c r="H21" s="25" t="inlineStr">
        <is>
          <t>Végrehajtva</t>
        </is>
      </c>
    </row>
    <row r="22" ht="34.5" customHeight="1" s="18">
      <c r="A22" s="25" t="inlineStr">
        <is>
          <t>V-21</t>
        </is>
      </c>
      <c r="B22" s="25" t="inlineStr">
        <is>
          <t>2026-10-18</t>
        </is>
      </c>
      <c r="C22" s="25" t="inlineStr">
        <is>
          <t>Dokumentáció</t>
        </is>
      </c>
      <c r="D22" s="25" t="inlineStr">
        <is>
          <t>JP1 leírása javítva (alapállapotban nyitott pad, a hiba az ellenállás-lábnyom hiánya); a hibák „utólagos felismerés” szerint átfogalmazva; új 2.6 pont (3D nyomtatott házak); források linkjei</t>
        </is>
      </c>
      <c r="E22" s="25" t="inlineStr">
        <is>
          <t>Hallgatói észrevételek</t>
        </is>
      </c>
      <c r="F22" s="25" t="inlineStr">
        <is>
          <t>H-hibák</t>
        </is>
      </c>
      <c r="G22" s="25" t="inlineStr">
        <is>
          <t>szakdolgozat_2_hardver.docx</t>
        </is>
      </c>
      <c r="H22" s="25" t="inlineStr">
        <is>
          <t>Végrehajtva</t>
        </is>
      </c>
    </row>
    <row r="23" ht="23.25" customHeight="1" s="18">
      <c r="A23" s="25" t="inlineStr">
        <is>
          <t>V-22</t>
        </is>
      </c>
      <c r="B23" s="25" t="inlineStr">
        <is>
          <t>2026-10-18</t>
        </is>
      </c>
      <c r="C23" s="25" t="inlineStr">
        <is>
          <t>Dokumentáció</t>
        </is>
      </c>
      <c r="D23" s="25" t="inlineStr">
        <is>
          <t>3. fejezet (Beágyazott szoftverfejlesztés) vázlata</t>
        </is>
      </c>
      <c r="E23" s="25" t="inlineStr">
        <is>
          <t>Hallgatói kérés</t>
        </is>
      </c>
      <c r="F23" s="25" t="inlineStr">
        <is>
          <t>–</t>
        </is>
      </c>
      <c r="G23" s="25" t="inlineStr">
        <is>
          <t>szakdolgozat_3_szoftver_vazlat.docx</t>
        </is>
      </c>
      <c r="H23" s="25" t="inlineStr">
        <is>
          <t>Végrehajtva</t>
        </is>
      </c>
    </row>
    <row r="24" ht="34.5" customHeight="1" s="18">
      <c r="A24" s="25" t="inlineStr">
        <is>
          <t>V-23</t>
        </is>
      </c>
      <c r="B24" s="25" t="inlineStr">
        <is>
          <t>2026-10-18</t>
        </is>
      </c>
      <c r="C24" s="25" t="inlineStr">
        <is>
          <t>Dokumentáció</t>
        </is>
      </c>
      <c r="D24" s="25" t="inlineStr">
        <is>
          <t>1. fejezet (Bevezetés és elméleti háttér) első változata, benne új alpont: a NYÁK-tervezés elméleti háttere, a projekt pontjaihoz kötve; 1–2. fejezet összefűzve átvezető bekezdésekkel (szakdolgozat_draft_v0_3)</t>
        </is>
      </c>
      <c r="E24" s="25" t="inlineStr">
        <is>
          <t>Hallgatói kérés</t>
        </is>
      </c>
      <c r="F24" s="25" t="inlineStr">
        <is>
          <t>–</t>
        </is>
      </c>
      <c r="G24" s="25" t="inlineStr">
        <is>
          <t>szakdolgozat_draft_v0_3.docx</t>
        </is>
      </c>
      <c r="H24" s="25" t="inlineStr">
        <is>
          <t>Végrehajtva</t>
        </is>
      </c>
    </row>
    <row r="25" ht="23.25" customHeight="1" s="18">
      <c r="A25" s="25" t="inlineStr">
        <is>
          <t>V-24</t>
        </is>
      </c>
      <c r="B25" s="25" t="inlineStr">
        <is>
          <t>2026-10-19</t>
        </is>
      </c>
      <c r="C25" s="25" t="inlineStr">
        <is>
          <t>Dokumentáció</t>
        </is>
      </c>
      <c r="D25" s="25" t="inlineStr">
        <is>
          <t>Szakdolgozat v0.5: az 1. fejezet 4 ábrája beépítve; Davis-hivatkozás javítva (47+8·s / 55+10·s bit, keretközi térrel); a hallgató hivatkozásai és dátumai átvezetve</t>
        </is>
      </c>
      <c r="E25" s="25" t="inlineStr">
        <is>
          <t>Hallgatói kérés; a Davis-cikk ellenőrzése</t>
        </is>
      </c>
      <c r="F25" s="25" t="inlineStr">
        <is>
          <t>–</t>
        </is>
      </c>
      <c r="G25" s="25" t="inlineStr">
        <is>
          <t>szakdolgozat_draft_v0_5.docx</t>
        </is>
      </c>
      <c r="H25" s="25" t="inlineStr">
        <is>
          <t>Végrehajtva</t>
        </is>
      </c>
    </row>
    <row r="26" ht="34.5" customHeight="1" s="18">
      <c r="A26" s="25" t="inlineStr">
        <is>
          <t>V-25</t>
        </is>
      </c>
      <c r="B26" s="25" t="inlineStr">
        <is>
          <t>2026-10-20</t>
        </is>
      </c>
      <c r="C26" s="25" t="inlineStr">
        <is>
          <t>Dokumentáció</t>
        </is>
      </c>
      <c r="D26" s="25" t="inlineStr">
        <is>
          <t>Új lap: Szoftverterv (könyvtárszerkezet, könyvtárak, fájlok/függvények, feladatok, üzenetformátum, számítások, mérföldkövek); S-22 (S2 telemetria-generátor) felvéve; kijelző-lábkiosztás rögzítve</t>
        </is>
      </c>
      <c r="E26" s="25" t="inlineStr">
        <is>
          <t>Hallgatói kérés (szoftverfejlesztés előtti terv)</t>
        </is>
      </c>
      <c r="F26" s="25" t="inlineStr">
        <is>
          <t>–</t>
        </is>
      </c>
      <c r="G26" s="25" t="inlineStr">
        <is>
          <t>Szoftverterv lap</t>
        </is>
      </c>
      <c r="H26" s="25" t="inlineStr">
        <is>
          <t>Végrehajtva</t>
        </is>
      </c>
    </row>
    <row r="27" ht="34.5" customHeight="1" s="18">
      <c r="A27" s="25" t="inlineStr">
        <is>
          <t>V-26</t>
        </is>
      </c>
      <c r="B27" s="25" t="inlineStr">
        <is>
          <t>2026-10-20</t>
        </is>
      </c>
      <c r="C27" s="25" t="inlineStr">
        <is>
          <t>Szoftver</t>
        </is>
      </c>
      <c r="D27" s="25" t="inlineStr">
        <is>
          <t>Project_OpenGauge v0.1: projektváz (obd_node, display_node, tools/ecu_sim), közös komponensek (og_protocol, og_obd, og_common), disp_smooth, PC-s tesztek (protokoll, PID, simítás: 3/3 sikeres)</t>
        </is>
      </c>
      <c r="E27" s="25" t="inlineStr">
        <is>
          <t>Szoftverterv M0–M1</t>
        </is>
      </c>
      <c r="F27" s="25" t="inlineStr">
        <is>
          <t>S-01, S-20</t>
        </is>
      </c>
      <c r="G27" s="25" t="inlineStr">
        <is>
          <t>Project_OpenGauge_v0_1.zip</t>
        </is>
      </c>
      <c r="H27" s="25" t="inlineStr">
        <is>
          <t>Végrehajtva</t>
        </is>
      </c>
    </row>
    <row r="28" ht="23.25" customHeight="1" s="18">
      <c r="A28" s="25" t="inlineStr">
        <is>
          <t>V-27</t>
        </is>
      </c>
      <c r="B28" s="25" t="inlineStr">
        <is>
          <t>2026-10-20</t>
        </is>
      </c>
      <c r="C28" s="25" t="inlineStr">
        <is>
          <t>Dokumentáció</t>
        </is>
      </c>
      <c r="D28" s="25" t="inlineStr">
        <is>
          <t>Új magyar README (az angol helyére); a hibakódok törlése kikerült a tervből (S-16, Szoftverterv, protokoll: RequestCode::ClearDtc eltávolítva)</t>
        </is>
      </c>
      <c r="E28" s="25" t="inlineStr">
        <is>
          <t>Hallgatói döntés (T-22)</t>
        </is>
      </c>
      <c r="F28" s="25" t="inlineStr">
        <is>
          <t>–</t>
        </is>
      </c>
      <c r="G28" s="25" t="inlineStr">
        <is>
          <t>README.md</t>
        </is>
      </c>
      <c r="H28" s="25" t="inlineStr">
        <is>
          <t>Végrehajtva</t>
        </is>
      </c>
    </row>
    <row r="29" ht="45.75" customHeight="1" s="18">
      <c r="A29" s="25" t="inlineStr">
        <is>
          <t>V-28</t>
        </is>
      </c>
      <c r="B29" s="25" t="inlineStr">
        <is>
          <t>2026-10-20</t>
        </is>
      </c>
      <c r="C29" s="25" t="inlineStr">
        <is>
          <t>Dokumentáció</t>
        </is>
      </c>
      <c r="D29" s="25" t="inlineStr">
        <is>
          <t>OpenGauge.md (projektleírás) magyarul, frissítve: kétegységes hatókör, négyrétegű NYÁK, QSPI kijelző, P1–P3 szintek, JP1 figyelmeztetés, kockázatok; a panelméretek rögzítve (OBD ≈ 41,8 × 59,1 mm, 80,1 mm a csatlakozóval; kijelző Ø50, 50 × 56,4 mm)</t>
        </is>
      </c>
      <c r="E29" s="25" t="inlineStr">
        <is>
          <t>Hallgatói kérés (angol dokumentumok magyarítása)</t>
        </is>
      </c>
      <c r="F29" s="25" t="inlineStr">
        <is>
          <t>–</t>
        </is>
      </c>
      <c r="G29" s="25" t="inlineStr">
        <is>
          <t>OpenGauge.md / .docx</t>
        </is>
      </c>
      <c r="H29" s="25" t="inlineStr">
        <is>
          <t>Végrehajtva</t>
        </is>
      </c>
    </row>
    <row r="30" ht="34.5" customHeight="1" s="18">
      <c r="A30" s="25" t="inlineStr">
        <is>
          <t>V-29</t>
        </is>
      </c>
      <c r="B30" s="25" t="inlineStr">
        <is>
          <t>2026-10-20</t>
        </is>
      </c>
      <c r="C30" s="25" t="inlineStr">
        <is>
          <t>Dokumentáció</t>
        </is>
      </c>
      <c r="D30" s="25" t="inlineStr">
        <is>
          <t>README és OpenGauge.md állapotfüggetlenné téve (az „Állapot" és a mérföldkő-táblázat kikerült a README-ből); új 03_hardver_architektura (magyar hardver-áttekintés a két műszaki leírás alapján)</t>
        </is>
      </c>
      <c r="E30" s="25" t="inlineStr">
        <is>
          <t>Hallgatói visszajelzés (általános, időtlen megfogalmazás)</t>
        </is>
      </c>
      <c r="F30" s="25" t="inlineStr">
        <is>
          <t>–</t>
        </is>
      </c>
      <c r="G30" s="25" t="inlineStr">
        <is>
          <t>README.md, OpenGauge.md, 03_hardver_architektura.md</t>
        </is>
      </c>
      <c r="H30" s="25" t="inlineStr">
        <is>
          <t>Végrehajtva</t>
        </is>
      </c>
    </row>
    <row r="31" ht="45.75" customHeight="1" s="18">
      <c r="A31" s="25" t="inlineStr">
        <is>
          <t>V-30</t>
        </is>
      </c>
      <c r="B31" s="25" t="inlineStr">
        <is>
          <t>2026-10-20</t>
        </is>
      </c>
      <c r="C31" s="25" t="inlineStr">
        <is>
          <t>Dokumentáció</t>
        </is>
      </c>
      <c r="D31" s="25" t="inlineStr">
        <is>
          <t>02_szoftver_architektura (magyar szoftver-áttekintés, a Szoftverterv lap alapján, figyelmeztetéssel, hogy leírás és nem kódmásolat); OpenGauge.md P2 kiegészítve a BLE-alapú ébresztéssel; firmware-zip a firmware/ szerkezetre igazítva (OpenGauge_firmware_v0_2.zip)</t>
        </is>
      </c>
      <c r="E31" s="25" t="inlineStr">
        <is>
          <t>Hallgatói kérés</t>
        </is>
      </c>
      <c r="F31" s="25" t="inlineStr">
        <is>
          <t>–</t>
        </is>
      </c>
      <c r="G31" s="25" t="inlineStr">
        <is>
          <t>02_szoftver_architektura.md, OpenGauge_firmware_v0_2.zip</t>
        </is>
      </c>
      <c r="H31" s="25" t="inlineStr">
        <is>
          <t>Végrehajtva</t>
        </is>
      </c>
    </row>
    <row r="32" ht="34.5" customHeight="1" s="18">
      <c r="A32" s="25" t="inlineStr">
        <is>
          <t>V-31</t>
        </is>
      </c>
      <c r="B32" s="25" t="inlineStr">
        <is>
          <t>2026-10-21</t>
        </is>
      </c>
      <c r="C32" s="25" t="inlineStr">
        <is>
          <t>Dokumentáció</t>
        </is>
      </c>
      <c r="D32" s="25" t="inlineStr">
        <is>
          <t>Dolgozat v0.6: P2 forrása javítva (nem az ISO 15765-4, hanem a J1979 / ISO 15031-5); CAN-kötelezettségre vonatkozó állítás az ISO 15765-4 1. pontjára szűkítve; OBDLink MX forrás felvéve; új Ütemterv lap (okt. 21–31)</t>
        </is>
      </c>
      <c r="E32" s="25" t="inlineStr">
        <is>
          <t>Hallgatói kérés; ISO 15765-4 (2005) ellenőrzése</t>
        </is>
      </c>
      <c r="F32" s="25" t="inlineStr">
        <is>
          <t>F-02, F-03, F-05</t>
        </is>
      </c>
      <c r="G32" s="25" t="inlineStr">
        <is>
          <t>szakdolgozat_draft_v0_6.docx</t>
        </is>
      </c>
      <c r="H32" s="25" t="inlineStr">
        <is>
          <t>Végrehajtva</t>
        </is>
      </c>
    </row>
    <row r="33" ht="45.75" customHeight="1" s="18">
      <c r="A33" s="25" t="inlineStr">
        <is>
          <t>V-32</t>
        </is>
      </c>
      <c r="B33" s="25" t="inlineStr">
        <is>
          <t>2026-10-21</t>
        </is>
      </c>
      <c r="C33" s="25" t="inlineStr">
        <is>
          <t>Dokumentáció</t>
        </is>
      </c>
      <c r="D33" s="25" t="inlineStr">
        <is>
          <t>Dolgozat v0.7: P2 = 50 ms ellenőrizve és hivatkozva (SAE J1979-2, 12. táblázat); új bekezdés az OBDonUDS-ről és a protokoll-felismerésről (4. ábra); mind az öt [FORRÁS KELL] megoldva. Hatókör: OBDonUDS kizárva (felismerés és jelzés); obd_detect kiegészítve a 22 F8 10 kéréssel</t>
        </is>
      </c>
      <c r="E33" s="25" t="inlineStr">
        <is>
          <t>J1979-2 PDF áttekintése</t>
        </is>
      </c>
      <c r="F33" s="25" t="inlineStr">
        <is>
          <t>F-03, F-07, Q-29</t>
        </is>
      </c>
      <c r="G33" s="25" t="inlineStr">
        <is>
          <t>szakdolgozat_draft_v0_7.docx, OpenGauge.md, 02_szoftver_architektura.md</t>
        </is>
      </c>
      <c r="H33" s="25" t="inlineStr">
        <is>
          <t>Végrehajtva</t>
        </is>
      </c>
    </row>
    <row r="34" ht="46.25" customHeight="1" s="18">
      <c r="A34" s="25" t="inlineStr">
        <is>
          <t>V-33</t>
        </is>
      </c>
      <c r="B34" s="25" t="inlineStr">
        <is>
          <t>2026-10-21</t>
        </is>
      </c>
      <c r="C34" s="25" t="inlineStr">
        <is>
          <t>Szoftver</t>
        </is>
      </c>
      <c r="D34" s="25" t="inlineStr">
        <is>
          <t>Project_OpenGauge v0.3: CAN-oldali PC-s kód: ISO-TP (SF/FF/CF/FC), OBD-kliens (P2/P2*, response pending), obd_services, PidScheduler, obd_detect, ecu_model + VirtualBus (virtuális óra). Minden függvényhez magyar mit/hogyan/miért megjegyzés. Host tesztek: 5/5, 199 ellenőrzés hiba nélkül.</t>
        </is>
      </c>
      <c r="E34" s="25" t="inlineStr">
        <is>
          <t>Hallgatói kérés (megjegyzések + függvényleírások)</t>
        </is>
      </c>
      <c r="F34" s="25" t="inlineStr">
        <is>
          <t>S-02, S-03, S-16, S-18, S-21</t>
        </is>
      </c>
      <c r="G34" s="25" t="inlineStr">
        <is>
          <t>OpenGauge_firmware_v0_3.zip</t>
        </is>
      </c>
      <c r="H34" s="25" t="n"/>
    </row>
    <row r="35" ht="46.25" customHeight="1" s="18">
      <c r="A35" s="27" t="inlineStr">
        <is>
          <t>V-34</t>
        </is>
      </c>
      <c r="B35" s="27" t="inlineStr">
        <is>
          <t>2026-10-24</t>
        </is>
      </c>
      <c r="C35" s="27" t="inlineStr">
        <is>
          <t>Szoftver</t>
        </is>
      </c>
      <c r="D35" s="27" t="inlineStr">
        <is>
          <t>host_test: MSVC-támogatás (/W4 /utf-8) és két figyelmeztetés javítása; a PC-s tesztek Windows-on is futnak (Visual Studio 2022 + önálló CMake).</t>
        </is>
      </c>
      <c r="E35" s="27" t="inlineStr">
        <is>
          <t>PC-s tesztek futtatása Windows-on</t>
        </is>
      </c>
      <c r="F35" s="27" t="inlineStr">
        <is>
          <t>H-22</t>
        </is>
      </c>
      <c r="G35" s="27" t="inlineStr">
        <is>
          <t>commit b28246c</t>
        </is>
      </c>
      <c r="H35" s="27" t="inlineStr">
        <is>
          <t>Végrehajtva</t>
        </is>
      </c>
    </row>
    <row r="36" ht="46.25" customHeight="1" s="18">
      <c r="A36" s="27" t="inlineStr">
        <is>
          <t>V-35</t>
        </is>
      </c>
      <c r="B36" s="27" t="inlineStr">
        <is>
          <t>2026-10-24</t>
        </is>
      </c>
      <c r="C36" s="27" t="inlineStr">
        <is>
          <t>Szoftver</t>
        </is>
      </c>
      <c r="D36" s="27" t="inlineStr">
        <is>
          <t>TwaiBus (og_twai, ICanPort a TWAI-driverre, nyugtázásra vár, keretnaplózás); ECU-szimulátor (S2) az EcuModel-lel valódi CAN-on; OBD-egység (C3): protokoll-felismerés, VIN, Mode 03, PID-terv szerinti lekérdezés; board_pins.h hardverváltozatonként; display_node N16R8 beállítás.</t>
        </is>
      </c>
      <c r="E36" s="27" t="inlineStr">
        <is>
          <t>S2–C3 asztali CAN-teszt</t>
        </is>
      </c>
      <c r="F36" s="27" t="inlineStr">
        <is>
          <t>S-02, S-03, S-21</t>
        </is>
      </c>
      <c r="G36" s="27" t="inlineStr">
        <is>
          <t>commit bd11e97</t>
        </is>
      </c>
      <c r="H36" s="27" t="inlineStr">
        <is>
          <t>Végrehajtva</t>
        </is>
      </c>
    </row>
    <row r="37" ht="46.25" customHeight="1" s="18">
      <c r="A37" s="27" t="inlineStr">
        <is>
          <t>V-36</t>
        </is>
      </c>
      <c r="B37" s="27" t="inlineStr">
        <is>
          <t>2026-10-24</t>
        </is>
      </c>
      <c r="C37" s="27" t="inlineStr">
        <is>
          <t>Szoftver</t>
        </is>
      </c>
      <c r="D37" s="27" t="inlineStr">
        <is>
          <t>Kijelző élesztése (M2): disp_lcd (esp_lcd + esp_lcd_st77916, QSPI, DMA-sávpuffer, háttérvilágítás-PWM), a Waveshare 1,85″ init-tábla, színteszt; obd_node: per-PID elavulási határ.</t>
        </is>
      </c>
      <c r="E37" s="27" t="inlineStr">
        <is>
          <t>M2 mérföldkő</t>
        </is>
      </c>
      <c r="F37" s="27" t="inlineStr">
        <is>
          <t>H-19, H-20, H-21</t>
        </is>
      </c>
      <c r="G37" s="27" t="inlineStr">
        <is>
          <t>commit 86dcd72</t>
        </is>
      </c>
      <c r="H37" s="27" t="inlineStr">
        <is>
          <t>Végrehajtva</t>
        </is>
      </c>
    </row>
    <row r="38" ht="46.25" customHeight="1" s="18">
      <c r="A38" s="27" t="inlineStr">
        <is>
          <t>V-37</t>
        </is>
      </c>
      <c r="B38" s="27" t="inlineStr">
        <is>
          <t>2026-10-25</t>
        </is>
      </c>
      <c r="C38" s="27" t="inlineStr">
        <is>
          <t>Szoftver</t>
        </is>
      </c>
      <c r="D38" s="27" t="inlineStr">
        <is>
          <t>Első LVGL-teszt (M3): LVGL 9.6 + esp_lvgl_port 2.9, részleges frissítés 2 × 40 soros DMA-pufferrel, ív és animált számkijelzés, FPS-mérés; QSPI-órajel alapértéke 40 MHz; 240 MHz-es CPU, sebességre optimalizált fordítás.</t>
        </is>
      </c>
      <c r="E38" s="27" t="inlineStr">
        <is>
          <t>M3 mérföldkő</t>
        </is>
      </c>
      <c r="F38" s="27" t="inlineStr">
        <is>
          <t>S-06, Q-05</t>
        </is>
      </c>
      <c r="G38" s="27" t="inlineStr">
        <is>
          <t>commit 8fb4979</t>
        </is>
      </c>
      <c r="H38" s="27" t="inlineStr">
        <is>
          <t>Végrehajtva</t>
        </is>
      </c>
    </row>
    <row r="39" ht="46.25" customHeight="1" s="18">
      <c r="A39" s="27" t="inlineStr">
        <is>
          <t>V-38</t>
        </is>
      </c>
      <c r="B39" s="27" t="inlineStr">
        <is>
          <t>2026-10-24</t>
        </is>
      </c>
      <c r="C39" s="27" t="inlineStr">
        <is>
          <t>Fejlesztői környezet</t>
        </is>
      </c>
      <c r="D39" s="27" t="inlineStr">
        <is>
          <t>Az ESP-IDF 5.5.3 marad a tervezett 5.5.5 helyett; a fordítás az ESP-IDF terminálból (Initialize-Idf.ps1) történik, mert a sima export.ps1 a rendszer Python 3.14-ét választaná.</t>
        </is>
      </c>
      <c r="E39" s="27" t="inlineStr">
        <is>
          <t>Hallgatói döntés: az 5.5.3 már telepítve volt és alkalmas</t>
        </is>
      </c>
      <c r="F39" s="27" t="inlineStr">
        <is>
          <t>–</t>
        </is>
      </c>
      <c r="G39" s="27" t="inlineStr">
        <is>
          <t>.vscode/settings.json</t>
        </is>
      </c>
      <c r="H39" s="27" t="inlineStr">
        <is>
          <t>Eldöntve</t>
        </is>
      </c>
    </row>
  </sheetData>
  <autoFilter ref="A1:H18"/>
  <dataValidations count="1">
    <dataValidation sqref="H2:H500" showDropDown="0" showInputMessage="0" showErrorMessage="0" allowBlank="1" type="list" errorStyle="stop" operator="between">
      <formula1>"Eldöntve,Tervezett,Végrehajtva,Lezárva"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24" customWidth="1" style="17" min="2" max="2"/>
    <col width="45" customWidth="1" style="17" min="3" max="3"/>
    <col width="60" customWidth="1" style="17" min="4" max="4"/>
    <col width="45" customWidth="1" style="17" min="5" max="5"/>
    <col width="24" customWidth="1" style="17" min="6" max="6"/>
  </cols>
  <sheetData>
    <row r="1" ht="30" customHeight="1" s="18">
      <c r="A1" s="24" t="inlineStr">
        <is>
          <t>Azonosító</t>
        </is>
      </c>
      <c r="B1" s="24" t="inlineStr">
        <is>
          <t>Téma</t>
        </is>
      </c>
      <c r="C1" s="24" t="inlineStr">
        <is>
          <t>Döntés</t>
        </is>
      </c>
      <c r="D1" s="24" t="inlineStr">
        <is>
          <t>Indoklás</t>
        </is>
      </c>
      <c r="E1" s="24" t="inlineStr">
        <is>
          <t>Elvetett alternatívák</t>
        </is>
      </c>
      <c r="F1" s="24" t="inlineStr">
        <is>
          <t>Hivatkozás</t>
        </is>
      </c>
    </row>
    <row r="2" ht="23.25" customHeight="1" s="18">
      <c r="A2" s="25" t="inlineStr">
        <is>
          <t>T-01</t>
        </is>
      </c>
      <c r="B2" s="25" t="inlineStr">
        <is>
          <t>OBD node vezérlő</t>
        </is>
      </c>
      <c r="C2" s="25" t="inlineStr">
        <is>
          <t>ESP32-C3-WROOM-02</t>
        </is>
      </c>
      <c r="D2" s="25" t="inlineStr">
        <is>
          <t>Beépített TWAI (CAN) vezérlő, USB, alacsony ár, ESP-NOW és BLE támogatás.</t>
        </is>
      </c>
      <c r="E2" s="25" t="inlineStr">
        <is>
          <t>ESP32-S3, ESP32 (klasszikus)</t>
        </is>
      </c>
      <c r="F2" s="25" t="inlineStr">
        <is>
          <t>OBD leírás 1.</t>
        </is>
      </c>
    </row>
    <row r="3" ht="23.25" customHeight="1" s="18">
      <c r="A3" s="25" t="inlineStr">
        <is>
          <t>T-02</t>
        </is>
      </c>
      <c r="B3" s="25" t="inlineStr">
        <is>
          <t>CAN transceiver</t>
        </is>
      </c>
      <c r="C3" s="25" t="inlineStr">
        <is>
          <t>SN65HVD231</t>
        </is>
      </c>
      <c r="D3" s="25" t="inlineStr">
        <is>
          <t>3,3 V-os táp, sleep mód (0,1 µA typ.), egyszerű RS-vezérlés.</t>
        </is>
      </c>
      <c r="E3" s="25" t="inlineStr">
        <is>
          <t>SN65HVD230 (standby fogyasztása nagyobb), MCP2551 (5 V)</t>
        </is>
      </c>
      <c r="F3" s="25" t="inlineStr">
        <is>
          <t>OBD leírás 3.3</t>
        </is>
      </c>
    </row>
    <row r="4" ht="23.25" customHeight="1" s="18">
      <c r="A4" s="25" t="inlineStr">
        <is>
          <t>T-03</t>
        </is>
      </c>
      <c r="B4" s="25" t="inlineStr">
        <is>
          <t>OBD táplálás</t>
        </is>
      </c>
      <c r="C4" s="25" t="inlineStr">
        <is>
          <t>TPS54302 buck, D8 (SS34) + D2 (SS14) VAGY-kapcsolás</t>
        </is>
      </c>
      <c r="D4" s="25" t="inlineStr">
        <is>
          <t>12–18 V-os járműhálózat hatékony levétele 3,3 V-ra; USB és jármű közti átkapcsolás diódákkal.</t>
        </is>
      </c>
      <c r="E4" s="25" t="inlineStr">
        <is>
          <t>LDO (nagy disszipáció), kapcsolóüzemű modul</t>
        </is>
      </c>
      <c r="F4" s="25" t="inlineStr">
        <is>
          <t>OBD leírás 2.2</t>
        </is>
      </c>
    </row>
    <row r="5" ht="15" customHeight="1" s="18">
      <c r="A5" s="25" t="inlineStr">
        <is>
          <t>T-04</t>
        </is>
      </c>
      <c r="B5" s="25" t="inlineStr">
        <is>
          <t>Tranziensvédelem</t>
        </is>
      </c>
      <c r="C5" s="25" t="inlineStr">
        <is>
          <t>D4 SMAJ24A TVS a nyers VBAT-on</t>
        </is>
      </c>
      <c r="D5" s="25" t="inlineStr">
        <is>
          <t>A járműhálózat feszültségcsúcsai ellen; nincs soros biztosíték (hely és ár).</t>
        </is>
      </c>
      <c r="E5" s="25" t="inlineStr">
        <is>
          <t>PTC vagy biztosíték sorosan</t>
        </is>
      </c>
      <c r="F5" s="25" t="inlineStr">
        <is>
          <t>OBD leírás 2.2.3</t>
        </is>
      </c>
    </row>
    <row r="6" ht="15" customHeight="1" s="18">
      <c r="A6" s="25" t="inlineStr">
        <is>
          <t>T-05</t>
        </is>
      </c>
      <c r="B6" s="25" t="inlineStr">
        <is>
          <t>Vezeték nélküli kapcsolat</t>
        </is>
      </c>
      <c r="C6" s="25" t="inlineStr">
        <is>
          <t>ESP-NOW (2,4 GHz, router nélkül)</t>
        </is>
      </c>
      <c r="D6" s="25" t="inlineStr">
        <is>
          <t>Kis késleltetés, nincs handshake, a két node közvetlenül kommunikál.</t>
        </is>
      </c>
      <c r="E6" s="25" t="inlineStr">
        <is>
          <t>BLE GATT, Wi-Fi AP + UDP</t>
        </is>
      </c>
      <c r="F6" s="25" t="inlineStr">
        <is>
          <t>funkciólista 1.</t>
        </is>
      </c>
    </row>
    <row r="7" ht="15" customHeight="1" s="18">
      <c r="A7" s="25" t="inlineStr">
        <is>
          <t>T-06</t>
        </is>
      </c>
      <c r="B7" s="25" t="inlineStr">
        <is>
          <t>Display vezérlő</t>
        </is>
      </c>
      <c r="C7" s="25" t="inlineStr">
        <is>
          <t>ESP32-S3-WROOM-1-N8R8</t>
        </is>
      </c>
      <c r="D7" s="25" t="inlineStr">
        <is>
          <t>Octal PSRAM a kijelző-pufferekhez, BLE, USB, elég GPIO.</t>
        </is>
      </c>
      <c r="E7" s="25" t="inlineStr">
        <is>
          <t>ESP32-S3 N16R8, ESP32-C6</t>
        </is>
      </c>
      <c r="F7" s="25" t="inlineStr">
        <is>
          <t>display leírás 1.</t>
        </is>
      </c>
    </row>
    <row r="8" ht="23.25" customHeight="1" s="18">
      <c r="A8" s="25" t="inlineStr">
        <is>
          <t>T-07</t>
        </is>
      </c>
      <c r="B8" s="25" t="inlineStr">
        <is>
          <t>Kijelző</t>
        </is>
      </c>
      <c r="C8" s="25" t="inlineStr">
        <is>
          <t>Waveshare 1,85″ 360 × 360 érintős modul, QSPI</t>
        </is>
      </c>
      <c r="D8" s="25" t="inlineStr">
        <is>
          <t>Kerek kialakítás, QSPI a gyors frissítéshez, beépített érintés és szintillesztő.</t>
        </is>
      </c>
      <c r="E8" s="25" t="inlineStr">
        <is>
          <t>GC9A01 (240 × 240, csak SPI), ST7789</t>
        </is>
      </c>
      <c r="F8" s="25" t="inlineStr">
        <is>
          <t>display leírás 2.2</t>
        </is>
      </c>
    </row>
    <row r="9" ht="23.25" customHeight="1" s="18">
      <c r="A9" s="25" t="inlineStr">
        <is>
          <t>T-08</t>
        </is>
      </c>
      <c r="B9" s="25" t="inlineStr">
        <is>
          <t>Grafikus keretrendszer</t>
        </is>
      </c>
      <c r="C9" s="25" t="inlineStr">
        <is>
          <t>LVGL (esp_lvgl_port) ESP-IDF-en</t>
        </is>
      </c>
      <c r="D9" s="25" t="inlineStr">
        <is>
          <t>Széles körben használt, ESP-IDF komponens, érintés- és kijelző-illesztő támogatás.</t>
        </is>
      </c>
      <c r="E9" s="25" t="inlineStr">
        <is>
          <t>TFT_eSPI (nem ESP-IDF), saját rajzolás</t>
        </is>
      </c>
      <c r="F9" s="25" t="inlineStr">
        <is>
          <t>funkciólista F-DISP-02</t>
        </is>
      </c>
    </row>
    <row r="10" ht="23.25" customHeight="1" s="18">
      <c r="A10" s="25" t="inlineStr">
        <is>
          <t>T-09</t>
        </is>
      </c>
      <c r="B10" s="25" t="inlineStr">
        <is>
          <t>Display táp és akkumulátor</t>
        </is>
      </c>
      <c r="C10" s="25" t="inlineStr">
        <is>
          <t>TP4056 töltő, P-MOSFET (AO3401A) tápútválasztó, TLV75733 LDO</t>
        </is>
      </c>
      <c r="D10" s="25" t="inlineStr">
        <is>
          <t>Egy cellás LiPo töltése USB-ről; az USB-kapocs átveszi a terhelést; alacsony nyugalmi áramú LDO.</t>
        </is>
      </c>
      <c r="E10" s="25" t="inlineStr">
        <is>
          <t>Töltő-power-path IC (pl. BQ24074), nagyobb LDO</t>
        </is>
      </c>
      <c r="F10" s="25" t="inlineStr">
        <is>
          <t>display leírás 3.2</t>
        </is>
      </c>
    </row>
    <row r="11" ht="23.25" customHeight="1" s="18">
      <c r="A11" s="25" t="inlineStr">
        <is>
          <t>T-10</t>
        </is>
      </c>
      <c r="B11" s="25" t="inlineStr">
        <is>
          <t>Akkumulátorvédelem</t>
        </is>
      </c>
      <c r="C11" s="25" t="inlineStr">
        <is>
          <t>Védelem nélküli lap; csak beépített védőáramkörös 1S LiPo cella használható</t>
        </is>
      </c>
      <c r="D11" s="25" t="inlineStr">
        <is>
          <t>Helyhiány a kör alakú NYÁK-on; a cella védőpanelje a BTR− ágban.</t>
        </is>
      </c>
      <c r="E11" s="25" t="inlineStr">
        <is>
          <t>DW01A + FS8205 a lapon</t>
        </is>
      </c>
      <c r="F11" s="25" t="inlineStr">
        <is>
          <t>display leírás 3.4</t>
        </is>
      </c>
    </row>
    <row r="12" ht="15" customHeight="1" s="18">
      <c r="A12" s="25" t="inlineStr">
        <is>
          <t>T-11</t>
        </is>
      </c>
      <c r="B12" s="25" t="inlineStr">
        <is>
          <t>NYÁK felépítés</t>
        </is>
      </c>
      <c r="C12" s="25" t="inlineStr">
        <is>
          <t>4 rétegű, JLC04161H-7628</t>
        </is>
      </c>
      <c r="D12" s="25" t="inlineStr">
        <is>
          <t>Impedancia és földsík a QSPI és az RF részhez.</t>
        </is>
      </c>
      <c r="E12" s="25" t="inlineStr">
        <is>
          <t>2 rétegű</t>
        </is>
      </c>
      <c r="F12" s="25" t="inlineStr">
        <is>
          <t>display leírás 4.1</t>
        </is>
      </c>
    </row>
    <row r="13" ht="23.25" customHeight="1" s="18">
      <c r="A13" s="25" t="inlineStr">
        <is>
          <t>T-12</t>
        </is>
      </c>
      <c r="B13" s="25" t="inlineStr">
        <is>
          <t>Fejlesztői környezet</t>
        </is>
      </c>
      <c r="C13" s="25" t="inlineStr">
        <is>
          <t>ESP-IDF VS Code-ban, közös komponens egy GitHub-repóban</t>
        </is>
      </c>
      <c r="D13" s="25" t="inlineStr">
        <is>
          <t>Egységes ISO-TP/csomagformátum a két projekt között, verziókövetés.</t>
        </is>
      </c>
      <c r="E13" s="25" t="inlineStr">
        <is>
          <t>Arduino, PlatformIO</t>
        </is>
      </c>
      <c r="F13" s="25" t="inlineStr">
        <is>
          <t>V-09</t>
        </is>
      </c>
    </row>
    <row r="14" ht="23.25" customHeight="1" s="18">
      <c r="A14" s="25" t="inlineStr">
        <is>
          <t>T-14</t>
        </is>
      </c>
      <c r="B14" s="25" t="inlineStr">
        <is>
          <t>Display ébresztés</t>
        </is>
      </c>
      <c r="C14" s="25" t="inlineStr">
        <is>
          <t>Light sleep + időzített BLE szkennelés; az OBD gyorsan hirdet az ébresztéshez</t>
        </is>
      </c>
      <c r="D14" s="25" t="inlineStr">
        <is>
          <t>Deep sleep alatt a BLE nem működik; light sleepben igen. A szkennelés kis kitöltése alacsony átlagáram.</t>
        </is>
      </c>
      <c r="E14" s="25" t="inlineStr">
        <is>
          <t>Deep sleep + érintés, ESP-NOW wake window</t>
        </is>
      </c>
      <c r="F14" s="25" t="inlineStr">
        <is>
          <t>funkciólista F-DISP-07</t>
        </is>
      </c>
    </row>
    <row r="15" ht="23.25" customHeight="1" s="18">
      <c r="A15" s="25" t="inlineStr">
        <is>
          <t>T-15</t>
        </is>
      </c>
      <c r="B15" s="25" t="inlineStr">
        <is>
          <t>Médiavezérlés</t>
        </is>
      </c>
      <c r="C15" s="25" t="inlineStr">
        <is>
          <t>iOS: Apple Media Service (BLE GATT kliens) + opcionális HID médiabillentyűk; AVRCP nem</t>
        </is>
      </c>
      <c r="D15" s="25" t="inlineStr">
        <is>
          <t>Az ESP32-S3 csak BLE-t támogat, az AVRCP Bluetooth Classic.</t>
        </is>
      </c>
      <c r="E15" s="25" t="inlineStr">
        <is>
          <t>AVRCP (csak klasszikus ESP32), Spotify Web API</t>
        </is>
      </c>
      <c r="F15" s="25" t="inlineStr">
        <is>
          <t>funkciólista F-DISP-06</t>
        </is>
      </c>
    </row>
    <row r="16" ht="34.5" customHeight="1" s="18">
      <c r="A16" s="25" t="inlineStr">
        <is>
          <t>T-16</t>
        </is>
      </c>
      <c r="B16" s="25" t="inlineStr">
        <is>
          <t>PID-lekérdezés</t>
        </is>
      </c>
      <c r="C16" s="25" t="inlineStr">
        <is>
          <t>Rétegezett ütemező: RPM/sebesség minden ciklusban, lassú értékek ritkábban; induláskor támogatott PID-ek lekérdezése</t>
        </is>
      </c>
      <c r="D16" s="25" t="inlineStr">
        <is>
          <t>A busz és az ECU válaszideje korlátos; a lassan változó értékeket felesleges gyakran kérdezni.</t>
        </is>
      </c>
      <c r="E16" s="25" t="inlineStr">
        <is>
          <t>Mind egyforma gyakorisággal, több PID egy kérésben</t>
        </is>
      </c>
      <c r="F16" s="25" t="inlineStr">
        <is>
          <t>Szoftver lap</t>
        </is>
      </c>
    </row>
    <row r="17" ht="45.75" customHeight="1" s="18">
      <c r="A17" s="25" t="inlineStr">
        <is>
          <t>T-17</t>
        </is>
      </c>
      <c r="B17" s="25" t="inlineStr">
        <is>
          <t>Display → OBD üzenetek</t>
        </is>
      </c>
      <c r="C17" s="25" t="inlineStr">
        <is>
          <t>Felfelé menő üzenetek: READY/ACK (ébredés után), HEARTBEAT (a display él), KÉRÉS (VIN, hibakód olvasás/törlés, PID-profil), ALVÁS-JELZÉS; a telemetria nem igényel visszaigazolást</t>
        </is>
      </c>
      <c r="D17" s="25" t="inlineStr">
        <is>
          <t>A display főleg vevő; az ESP-NOW nem UDP, de unicastnál van MAC-szintű visszaigazolás és újraküldés, így a telemetriához nem kell alkalmazásszintű ACK.</t>
        </is>
      </c>
      <c r="E17" s="25" t="inlineStr">
        <is>
          <t>Minden csomag alkalmazásszintű ACK-kal</t>
        </is>
      </c>
      <c r="F17" s="25" t="inlineStr">
        <is>
          <t>Szoftver lap S-20</t>
        </is>
      </c>
    </row>
    <row r="18" ht="34.5" customHeight="1" s="18">
      <c r="A18" s="25" t="inlineStr">
        <is>
          <t>T-18</t>
        </is>
      </c>
      <c r="B18" s="25" t="inlineStr">
        <is>
          <t>VIN és márkalogó</t>
        </is>
      </c>
      <c r="C18" s="25" t="inlineStr">
        <is>
          <t>VIN lekérés Mode 09 PID 02-vel (többkeretes ISO-TP), a gyártó a WMI-ből (első 3 karakter) táblázatból; ismeretlen WMI esetén általános logó</t>
        </is>
      </c>
      <c r="D18" s="25" t="inlineStr">
        <is>
          <t>Általános működés bármilyen autóval; a VIN nem minden autón érhető el, ezért tartalék kell. ESP-NOW-n a VIN csak titkosítva menjen.</t>
        </is>
      </c>
      <c r="E18" s="25" t="inlineStr">
        <is>
          <t>Kézi márkaválasztás</t>
        </is>
      </c>
      <c r="F18" s="25" t="inlineStr">
        <is>
          <t>Szoftver lap S-18, S-19</t>
        </is>
      </c>
    </row>
    <row r="19" ht="34.5" customHeight="1" s="18">
      <c r="A19" s="25" t="inlineStr">
        <is>
          <t>T-19</t>
        </is>
      </c>
      <c r="B19" s="25" t="inlineStr">
        <is>
          <t>Tesztkörnyezet</t>
        </is>
      </c>
      <c r="C19" s="25" t="inlineStr">
        <is>
          <t>Asztali CAN-tesztpad: ESP32-S2 (ECU-szimulátor) ↔ CAN ↔ ESP32-C3 SuperMini (OBD node) ↔ ESP-NOW/BLE ↔ ESP32-S3 (display)</t>
        </is>
      </c>
      <c r="D19" s="25" t="inlineStr">
        <is>
          <t>Autó nélkül is ismételhető tesztek (PID-ek, VIN többkeretesen, buszalvás/ébredés); a szimulátor reprodukálható mérési feltételeket ad a 5. fejezethez.</t>
        </is>
      </c>
      <c r="E19" s="25" t="inlineStr">
        <is>
          <t>Csak járműves tesztek</t>
        </is>
      </c>
      <c r="F19" s="25" t="inlineStr">
        <is>
          <t>Szoftver lap S-21</t>
        </is>
      </c>
    </row>
    <row r="20" ht="23.25" customHeight="1" s="18">
      <c r="A20" s="25" t="inlineStr">
        <is>
          <t>T-13</t>
        </is>
      </c>
      <c r="B20" s="25" t="inlineStr">
        <is>
          <t>OBD key-on érzékelés</t>
        </is>
      </c>
      <c r="C20" s="25" t="inlineStr">
        <is>
          <t>Light sleep + időzítős ébredés, RX-GPIO ébresztés listen-only ablakban (H-11 miatt)</t>
        </is>
      </c>
      <c r="D20" s="25" t="inlineStr">
        <is>
          <t>Az SN65HVD231 sleep módban nem ébreszt busz-forgalomra.</t>
        </is>
      </c>
      <c r="E20" s="25" t="inlineStr">
        <is>
          <t>Külső busz-ébresztő áramkör, VBAT-figyelés ADC-vel (a jelenlegi NYÁK-on nincs)</t>
        </is>
      </c>
      <c r="F20" s="25" t="inlineStr">
        <is>
          <t>OBD leírás 3.3</t>
        </is>
      </c>
    </row>
    <row r="21" ht="23.25" customHeight="1" s="18">
      <c r="A21" s="25" t="inlineStr">
        <is>
          <t>T-20</t>
        </is>
      </c>
      <c r="B21" s="25" t="inlineStr">
        <is>
          <t>Szakdolgozat szerkezete</t>
        </is>
      </c>
      <c r="C21" s="25" t="inlineStr">
        <is>
          <t>BSc, 40–55 oldal; hardver, szoftver, teszt egyenként ≈ 25–30 %; hosszú leírások mellékletbe</t>
        </is>
      </c>
      <c r="D21" s="25" t="inlineStr">
        <is>
          <t>Az egyetemi sablon és a mikrovezérlős/szoftveres javaslat arányai</t>
        </is>
      </c>
      <c r="E21" s="25" t="inlineStr">
        <is>
          <t>Két külön dolgozat; FOSZK útmutató formázása</t>
        </is>
      </c>
      <c r="F21" s="25" t="inlineStr">
        <is>
          <t>szd sablon, 2. fejezet</t>
        </is>
      </c>
    </row>
    <row r="22" ht="23.25" customHeight="1" s="18">
      <c r="A22" s="25" t="inlineStr">
        <is>
          <t>T-21</t>
        </is>
      </c>
      <c r="B22" s="25" t="inlineStr">
        <is>
          <t>Hivatkozási stílus</t>
        </is>
      </c>
      <c r="C22" s="25" t="inlineStr">
        <is>
          <t>Számozott, szögletes zárójeles [n], ábécésorrendű irodalomjegyzék</t>
        </is>
      </c>
      <c r="D22" s="25" t="inlineStr">
        <is>
          <t>Az egyetemi sablon előírása</t>
        </is>
      </c>
      <c r="E22" s="25" t="inlineStr">
        <is>
          <t>SZERZŐ (év) stílus (FOSZK útmutató)</t>
        </is>
      </c>
      <c r="F22" s="25" t="inlineStr">
        <is>
          <t>szd sablon 2.4</t>
        </is>
      </c>
    </row>
    <row r="23" ht="34.5" customHeight="1" s="18">
      <c r="A23" s="25" t="inlineStr">
        <is>
          <t>T-22</t>
        </is>
      </c>
      <c r="B23" s="25" t="inlineStr">
        <is>
          <t>Hatókör: hibakódok törlése</t>
        </is>
      </c>
      <c r="C23" s="25" t="inlineStr">
        <is>
          <t>A hibakódok törlése (Mode 04) kimarad a projektből; az eszköz kizárólag olvasó (Mode 01, 09, tervezetten 03).</t>
        </is>
      </c>
      <c r="D23" s="25" t="inlineStr">
        <is>
          <t>Az „eszköz nem befolyásolja a jármű működését” állítás csak akkor tartható, ha semmilyen író/törlő szolgáltatás nincs benne; a törlés a készenléti monitorokat is nullázza (kibocsátási vizsgához releváns).</t>
        </is>
      </c>
      <c r="E23" s="25" t="inlineStr">
        <is>
          <t>Törlés megerősítéssel (S-16 korábbi változata)</t>
        </is>
      </c>
      <c r="F23" s="25" t="inlineStr">
        <is>
          <t>OpenGauge.md 3.2; Szoftver S-16</t>
        </is>
      </c>
    </row>
    <row r="24" ht="57" customHeight="1" s="18">
      <c r="A24" s="25" t="inlineStr">
        <is>
          <t>T-23</t>
        </is>
      </c>
      <c r="B24" s="25" t="inlineStr">
        <is>
          <t>Fejlesztői környezet</t>
        </is>
      </c>
      <c r="C24" s="25" t="inlineStr">
        <is>
          <t>ESP-IDF v5.5.5 (az 5.5-ös ág), nem a legújabb főverzió.</t>
        </is>
      </c>
      <c r="D24" s="25" t="inlineStr">
        <is>
          <t>Az ESP-IDF dokumentációja szerint a stabil kiadás már a v6.1; az 5.5.x ág viszont érett, minden használt komponens (esp_lvgl_port, esp_lcd_st77916, esp_lcd_touch_cst816s, TWAI) 5.x-szel ismert; a támogatási szabály szerint minden főkiadás 30 hónapig támogatott, ez a szakdolgozat idejére bőven elég. A verziót a dolgozatban rögzíteni kell.</t>
        </is>
      </c>
      <c r="E24" s="25" t="inlineStr">
        <is>
          <t>ESP-IDF v6.1 (új API-k, kisebb példatár, kockázat a rövid határidő mellett)</t>
        </is>
      </c>
      <c r="F24" s="25" t="inlineStr">
        <is>
          <t>docs.espressif.com – ESP-IDF Versions</t>
        </is>
      </c>
    </row>
  </sheetData>
  <autoFilter ref="A1:F2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14" customWidth="1" style="17" min="2" max="2"/>
    <col width="80" customWidth="1" style="17" min="3" max="3"/>
    <col width="45" customWidth="1" style="17" min="4" max="4"/>
    <col width="14" customWidth="1" style="17" min="5" max="5"/>
  </cols>
  <sheetData>
    <row r="1" ht="30" customHeight="1" s="18">
      <c r="A1" s="24" t="inlineStr">
        <is>
          <t>Azonosító</t>
        </is>
      </c>
      <c r="B1" s="24" t="inlineStr">
        <is>
          <t>Terület</t>
        </is>
      </c>
      <c r="C1" s="24" t="inlineStr">
        <is>
          <t>Kérdés</t>
        </is>
      </c>
      <c r="D1" s="24" t="inlineStr">
        <is>
          <t>Hogyan válaszolható meg</t>
        </is>
      </c>
      <c r="E1" s="24" t="inlineStr">
        <is>
          <t>Státusz</t>
        </is>
      </c>
    </row>
    <row r="2" ht="15" customHeight="1" s="18">
      <c r="A2" s="25" t="inlineStr">
        <is>
          <t>Q-01</t>
        </is>
      </c>
      <c r="B2" s="25" t="inlineStr">
        <is>
          <t>Display</t>
        </is>
      </c>
      <c r="C2" s="25" t="inlineStr">
        <is>
          <t>Waveshare modul 16–18. lába GND-e? (a gyártó oldala nem sorolja fel)</t>
        </is>
      </c>
      <c r="D2" s="25" t="inlineStr">
        <is>
          <t>Modul kapcsolási rajza / méréssel</t>
        </is>
      </c>
      <c r="E2" s="25" t="inlineStr">
        <is>
          <t>Nyitott</t>
        </is>
      </c>
    </row>
    <row r="3" ht="15" customHeight="1" s="18">
      <c r="A3" s="25" t="inlineStr">
        <is>
          <t>Q-02</t>
        </is>
      </c>
      <c r="B3" s="25" t="inlineStr">
        <is>
          <t>Display</t>
        </is>
      </c>
      <c r="C3" s="25" t="inlineStr">
        <is>
          <t>Van-e I²C felhúzó a modulon? Külső felhúzó szükséges-e?</t>
        </is>
      </c>
      <c r="D3" s="25" t="inlineStr">
        <is>
          <t>Modul kapcsolási rajza / mérés</t>
        </is>
      </c>
      <c r="E3" s="25" t="inlineStr">
        <is>
          <t>Nyitott</t>
        </is>
      </c>
    </row>
    <row r="4" ht="15" customHeight="1" s="18">
      <c r="A4" s="25" t="inlineStr">
        <is>
          <t>Q-03</t>
        </is>
      </c>
      <c r="B4" s="25" t="inlineStr">
        <is>
          <t>Display</t>
        </is>
      </c>
      <c r="C4" s="25" t="inlineStr">
        <is>
          <t>CST816S I²C-címe a modulon (0x15 az adatlap szerint)</t>
        </is>
      </c>
      <c r="D4" s="25" t="inlineStr">
        <is>
          <t>I²C-szkenner a lapokkal</t>
        </is>
      </c>
      <c r="E4" s="25" t="inlineStr">
        <is>
          <t>Nyitott</t>
        </is>
      </c>
    </row>
    <row r="5" ht="15" customHeight="1" s="18">
      <c r="A5" s="25" t="inlineStr">
        <is>
          <t>Q-04</t>
        </is>
      </c>
      <c r="B5" s="25" t="inlineStr">
        <is>
          <t>Display</t>
        </is>
      </c>
      <c r="C5" s="25" t="inlineStr">
        <is>
          <t>Az FFC kábel érintkezési oldala illik-e az alsó érintkezős J2-höz?</t>
        </is>
      </c>
      <c r="D5" s="25" t="inlineStr">
        <is>
          <t>Kábel és aljzat szemrevételezése a megérkezéskor</t>
        </is>
      </c>
      <c r="E5" s="25" t="inlineStr">
        <is>
          <t>Nyitott</t>
        </is>
      </c>
    </row>
    <row r="6" ht="15" customHeight="1" s="18">
      <c r="A6" s="25" t="inlineStr">
        <is>
          <t>Q-05</t>
        </is>
      </c>
      <c r="B6" s="25" t="inlineStr">
        <is>
          <t>Display</t>
        </is>
      </c>
      <c r="C6" s="25" t="inlineStr">
        <is>
          <t>QSPI órajel: 40 MHz stabil-e, kell-e soros lezárás? Válasz (2026-10-25): 40 MHz-en a devkiten hibátlan a kép, soros lezárás nélkül (a gyártói kábellel).</t>
        </is>
      </c>
      <c r="D6" s="25" t="inlineStr">
        <is>
          <t>Jelminőség-mérés, ESP-IDF teszt</t>
        </is>
      </c>
      <c r="E6" s="25" t="inlineStr">
        <is>
          <t>Megválaszolt</t>
        </is>
      </c>
    </row>
    <row r="7" ht="15" customHeight="1" s="18">
      <c r="A7" s="25" t="inlineStr">
        <is>
          <t>Q-06</t>
        </is>
      </c>
      <c r="B7" s="25" t="inlineStr">
        <is>
          <t>OBD</t>
        </is>
      </c>
      <c r="C7" s="25" t="inlineStr">
        <is>
          <t>Kapocsfeszültség a TVS-nél és a buck bemenetén tranziensekkor</t>
        </is>
      </c>
      <c r="D7" s="25" t="inlineStr">
        <is>
          <t>Oszcilloszkópos mérés / szimuláció</t>
        </is>
      </c>
      <c r="E7" s="25" t="inlineStr">
        <is>
          <t>Nyitott</t>
        </is>
      </c>
    </row>
    <row r="8" ht="15" customHeight="1" s="18">
      <c r="A8" s="25" t="inlineStr">
        <is>
          <t>Q-07</t>
        </is>
      </c>
      <c r="B8" s="25" t="inlineStr">
        <is>
          <t>OBD</t>
        </is>
      </c>
      <c r="C8" s="25" t="inlineStr">
        <is>
          <t>Alvóáram a járművön (cél ≤ 1 mA @ 12 V)</t>
        </is>
      </c>
      <c r="D8" s="25" t="inlineStr">
        <is>
          <t>Árammérés</t>
        </is>
      </c>
      <c r="E8" s="25" t="inlineStr">
        <is>
          <t>Nyitott</t>
        </is>
      </c>
    </row>
    <row r="9" ht="15" customHeight="1" s="18">
      <c r="A9" s="25" t="inlineStr">
        <is>
          <t>Q-08</t>
        </is>
      </c>
      <c r="B9" s="25" t="inlineStr">
        <is>
          <t>Szoftver</t>
        </is>
      </c>
      <c r="C9" s="25" t="inlineStr">
        <is>
          <t>Telefon típusa a médiavezérléshez: iOS elsődleges, a cél az általános működés</t>
        </is>
      </c>
      <c r="D9" s="25" t="inlineStr">
        <is>
          <t>Felhasználó (2026-10-17)</t>
        </is>
      </c>
      <c r="E9" s="25" t="inlineStr">
        <is>
          <t>Megválaszolt</t>
        </is>
      </c>
    </row>
    <row r="10" ht="23.25" customHeight="1" s="18">
      <c r="A10" s="25" t="inlineStr">
        <is>
          <t>Q-09</t>
        </is>
      </c>
      <c r="B10" s="25" t="inlineStr">
        <is>
          <t>Szoftver</t>
        </is>
      </c>
      <c r="C10" s="25" t="inlineStr">
        <is>
          <t>A kijelző táplálása: USB és akkumulátor, az USB nem mindig van bedugva, ezért vezeték nélküli ébresztés kell</t>
        </is>
      </c>
      <c r="D10" s="25" t="inlineStr">
        <is>
          <t>Felhasználó (2026-10-17)</t>
        </is>
      </c>
      <c r="E10" s="25" t="inlineStr">
        <is>
          <t>Megválaszolt</t>
        </is>
      </c>
    </row>
    <row r="11" ht="23.25" customHeight="1" s="18">
      <c r="A11" s="25" t="inlineStr">
        <is>
          <t>Q-11</t>
        </is>
      </c>
      <c r="B11" s="25" t="inlineStr">
        <is>
          <t>OBD</t>
        </is>
      </c>
      <c r="C11" s="25" t="inlineStr">
        <is>
          <t>Hogyan viselkedik a CAN-busz a saját autón (key-on, ajtónyitás, key-off, buszalvás): kockák időzítése, buszalvás ideje?</t>
        </is>
      </c>
      <c r="D11" s="25" t="inlineStr">
        <is>
          <t>Listen-only naplózás a saját node-dal</t>
        </is>
      </c>
      <c r="E11" s="25" t="inlineStr">
        <is>
          <t>Nyitott</t>
        </is>
      </c>
    </row>
    <row r="12" ht="15" customHeight="1" s="18">
      <c r="A12" s="25" t="inlineStr">
        <is>
          <t>Q-12</t>
        </is>
      </c>
      <c r="B12" s="25" t="inlineStr">
        <is>
          <t>Display</t>
        </is>
      </c>
      <c r="C12" s="25" t="inlineStr">
        <is>
          <t>Működik-e stabilan az ESP-NOW vétel a telefonnal összekötött BLE mellett (H-16)?</t>
        </is>
      </c>
      <c r="D12" s="25" t="inlineStr">
        <is>
          <t>Korai prototípus-teszt</t>
        </is>
      </c>
      <c r="E12" s="25" t="inlineStr">
        <is>
          <t>Nyitott</t>
        </is>
      </c>
    </row>
    <row r="13" ht="23.25" customHeight="1" s="18">
      <c r="A13" s="25" t="inlineStr">
        <is>
          <t>Q-13</t>
        </is>
      </c>
      <c r="B13" s="25" t="inlineStr">
        <is>
          <t>Display</t>
        </is>
      </c>
      <c r="C13" s="25" t="inlineStr">
        <is>
          <t>BLE light sleep átlagáram a fő XTAL mint alacsony fogyasztású óra mellett, 15 ms / 1,5 s szkennelésnél</t>
        </is>
      </c>
      <c r="D13" s="25" t="inlineStr">
        <is>
          <t>Árammérés a megérkezett lapon</t>
        </is>
      </c>
      <c r="E13" s="25" t="inlineStr">
        <is>
          <t>Nyitott</t>
        </is>
      </c>
    </row>
    <row r="14" ht="34.5" customHeight="1" s="18">
      <c r="A14" s="25" t="inlineStr">
        <is>
          <t>Q-14</t>
        </is>
      </c>
      <c r="B14" s="25" t="inlineStr">
        <is>
          <t>Teszt</t>
        </is>
      </c>
      <c r="C14" s="25" t="inlineStr">
        <is>
          <t>Asztali CAN-teszt: két SN65HVD230 modul (hestore CAN-TTL), ESP32-S2 mini mint ECU-szimulátor, ESP32-C3 SuperMini mint OBD node. Modulok tápfeszültsége és lezáró ellenállása ellenőrizendő. Válasz (2026-10-24): a tesztösszeállítás működik (S2 ↔ C3, 500 kbit/s).</t>
        </is>
      </c>
      <c r="D14" s="25" t="inlineStr">
        <is>
          <t>Felhasználó (2026-10-18)</t>
        </is>
      </c>
      <c r="E14" s="25" t="inlineStr">
        <is>
          <t>Megválaszolt</t>
        </is>
      </c>
    </row>
    <row r="15" ht="23.25" customHeight="1" s="18">
      <c r="A15" s="25" t="inlineStr">
        <is>
          <t>Q-15</t>
        </is>
      </c>
      <c r="B15" s="25" t="inlineStr">
        <is>
          <t>Teszt</t>
        </is>
      </c>
      <c r="C15" s="25" t="inlineStr">
        <is>
          <t>ESP32-S3-WROOM-1-N16R8 devkit (16 MB flash, 8 MB PSRAM, két USB-C). Az octal PSRAM a modulnevezés alapján feltételezett, a rendszerindítási naplóból ellenőrizendő. [2026-10-24] Rendszerindítási napló: 8 MB Octal PSRAM (AP, 3 V), 80 MHz; 16 MB flash.</t>
        </is>
      </c>
      <c r="D15" s="25" t="inlineStr">
        <is>
          <t>Felhasználó (2026-10-18)</t>
        </is>
      </c>
      <c r="E15" s="25" t="inlineStr">
        <is>
          <t>Megválaszolt</t>
        </is>
      </c>
    </row>
    <row r="16" ht="23.25" customHeight="1" s="18">
      <c r="A16" s="25" t="inlineStr">
        <is>
          <t>Q-16</t>
        </is>
      </c>
      <c r="B16" s="25" t="inlineStr">
        <is>
          <t>Szoftver</t>
        </is>
      </c>
      <c r="C16" s="25" t="inlineStr">
        <is>
          <t>Márkalogók forrása és jogi helyzete (védjegy): a dolgozatban demonstrációs célra használhatók-e, vagy saját stilizált jelzések kellenek?</t>
        </is>
      </c>
      <c r="D16" s="25" t="inlineStr">
        <is>
          <t>Konzulens / saját mérlegelés</t>
        </is>
      </c>
      <c r="E16" s="25" t="inlineStr">
        <is>
          <t>Nyitott</t>
        </is>
      </c>
    </row>
    <row r="17" ht="23.25" customHeight="1" s="18">
      <c r="A17" s="25" t="inlineStr">
        <is>
          <t>Q-17</t>
        </is>
      </c>
      <c r="B17" s="25" t="inlineStr">
        <is>
          <t>Dolgozat</t>
        </is>
      </c>
      <c r="C17" s="25" t="inlineStr">
        <is>
          <t>Sablon és formai követelmények: egyetem, kar, szak; a Scribd-sablon nem tölthető le, fájlként vagy szövegként kell átadni.</t>
        </is>
      </c>
      <c r="D17" s="25" t="inlineStr">
        <is>
          <t>Felhasználó</t>
        </is>
      </c>
      <c r="E17" s="25" t="inlineStr">
        <is>
          <t>Nyitott</t>
        </is>
      </c>
    </row>
    <row r="18" ht="15" customHeight="1" s="18">
      <c r="A18" s="25" t="inlineStr">
        <is>
          <t>Q-10</t>
        </is>
      </c>
      <c r="B18" s="25" t="inlineStr">
        <is>
          <t>Gyártás</t>
        </is>
      </c>
      <c r="C18" s="25" t="inlineStr">
        <is>
          <t>Gerber újraexportálás a legfrissebb .kicad_pcb-ből megtörtént-e?</t>
        </is>
      </c>
      <c r="D18" s="25" t="inlineStr">
        <is>
          <t>Felhasználó</t>
        </is>
      </c>
      <c r="E18" s="25" t="inlineStr">
        <is>
          <t>kitöltendő</t>
        </is>
      </c>
    </row>
    <row r="19" ht="15" customHeight="1" s="18">
      <c r="A19" s="25" t="inlineStr">
        <is>
          <t>Q-18</t>
        </is>
      </c>
      <c r="B19" s="25" t="inlineStr">
        <is>
          <t>Dokumentáció</t>
        </is>
      </c>
      <c r="C19" s="25" t="inlineStr">
        <is>
          <t>Min. 15–20 irodalmi forrás, ebből legalább 5 idegen nyelvű; a szakirodalom a dolgozat ≥ 1/3-a; jelenleg 12 forrás (adatlapok)</t>
        </is>
      </c>
      <c r="D19" s="25" t="inlineStr">
        <is>
          <t>Szakirodalom bővítése (CAN/OBD-II, ESP-NOW, energiatakarékosság)</t>
        </is>
      </c>
      <c r="E19" s="25" t="inlineStr">
        <is>
          <t>kitöltendő</t>
        </is>
      </c>
    </row>
    <row r="20" ht="15" customHeight="1" s="18">
      <c r="A20" s="25" t="inlineStr">
        <is>
          <t>Q-19</t>
        </is>
      </c>
      <c r="B20" s="25" t="inlineStr">
        <is>
          <t>Dokumentáció</t>
        </is>
      </c>
      <c r="C20" s="25" t="inlineStr">
        <is>
          <t>Egyoldalas angol/német összefoglaló és ábrajegyzék szükséges</t>
        </is>
      </c>
      <c r="D20" s="25" t="inlineStr">
        <is>
          <t>Összefoglalás megírásakor</t>
        </is>
      </c>
      <c r="E20" s="25" t="inlineStr">
        <is>
          <t>kitöltendő</t>
        </is>
      </c>
    </row>
    <row r="21" ht="15" customHeight="1" s="18">
      <c r="A21" s="25" t="inlineStr">
        <is>
          <t>Q-20</t>
        </is>
      </c>
      <c r="B21" s="25" t="inlineStr">
        <is>
          <t>Dokumentáció</t>
        </is>
      </c>
      <c r="C21" s="25" t="inlineStr">
        <is>
          <t>Irodalomjegyzék tételeinél az adatlapok kiadási éve és megtekintési dátuma kitöltendő</t>
        </is>
      </c>
      <c r="D21" s="25" t="inlineStr">
        <is>
          <t>Adatlapok újbóli megnyitásával</t>
        </is>
      </c>
      <c r="E21" s="25" t="inlineStr">
        <is>
          <t>kitöltendő</t>
        </is>
      </c>
    </row>
    <row r="22" ht="23.25" customHeight="1" s="18">
      <c r="A22" s="25" t="inlineStr">
        <is>
          <t>Q-21</t>
        </is>
      </c>
      <c r="B22" s="25" t="inlineStr">
        <is>
          <t>Ház</t>
        </is>
      </c>
      <c r="C22" s="25" t="inlineStr">
        <is>
          <t>Házak tervezése (CAD-program, PLA próbanyomat, később ABS/ASA); a Blender helyett paraméteres CAD (pl. FreeCAD) mérlegelendő</t>
        </is>
      </c>
      <c r="D22" s="25" t="inlineStr">
        <is>
          <t>Alkatrészek megérkezése után</t>
        </is>
      </c>
      <c r="E22" s="25" t="inlineStr">
        <is>
          <t>kitöltendő</t>
        </is>
      </c>
    </row>
    <row r="23" ht="23.25" customHeight="1" s="18">
      <c r="A23" s="25" t="inlineStr">
        <is>
          <t>Q-22</t>
        </is>
      </c>
      <c r="B23" s="25" t="inlineStr">
        <is>
          <t>Beszerzés</t>
        </is>
      </c>
      <c r="C23" s="25" t="inlineStr">
        <is>
          <t>OBD-csatlakozó és CAN-modul összekötése forrasztás nélkül (csavaros kivezetés / vezetékes J1962 dugó); két alkatrész szállítása 10–15 munkanap</t>
        </is>
      </c>
      <c r="D23" s="25" t="inlineStr">
        <is>
          <t>Rendelés előtt egyeztetni</t>
        </is>
      </c>
      <c r="E23" s="25" t="inlineStr">
        <is>
          <t>kitöltendő</t>
        </is>
      </c>
    </row>
    <row r="24" ht="34.5" customHeight="1" s="18">
      <c r="A24" s="25" t="inlineStr">
        <is>
          <t>Q-23</t>
        </is>
      </c>
      <c r="B24" s="25" t="inlineStr">
        <is>
          <t>Teszt</t>
        </is>
      </c>
      <c r="C24" s="25" t="inlineStr">
        <is>
          <t>A CAN-TTL modulon a képen R3 (jelölés 121 = 120 Ω) köti össze H és L vonalat: járműben az eltávolítása szükséges (40 Ω helyett 60 Ω); padon két modullal 60 Ω. Beérkezéskor ellenőrizni (multiméterrel, feszültségmentesen), és a csavaros kivezetés megléte is</t>
        </is>
      </c>
      <c r="D24" s="25" t="inlineStr">
        <is>
          <t>Modul beérkezése után</t>
        </is>
      </c>
      <c r="E24" s="25" t="inlineStr">
        <is>
          <t>kitöltendő</t>
        </is>
      </c>
    </row>
    <row r="25" ht="34.5" customHeight="1" s="18">
      <c r="A25" s="25" t="inlineStr">
        <is>
          <t>Q-24</t>
        </is>
      </c>
      <c r="B25" s="25" t="inlineStr">
        <is>
          <t>Mérőeszköz</t>
        </is>
      </c>
      <c r="C25" s="25" t="inlineStr">
        <is>
          <t>Logikai analizátor (8 csatorna, 24 MHz, Saleae-kompatibilis): digitális jelekre (CAN RX/TX, I²C, ESP-NOW késleltetés GPIO-jelzéssel) elég; a 40 MHz-es QSPI és az analóg mérések (ripple, tápútváltás) nem. Oszcilloszkóp: laborban vagy később</t>
        </is>
      </c>
      <c r="D25" s="25" t="inlineStr">
        <is>
          <t>Eszközválasztás</t>
        </is>
      </c>
      <c r="E25" s="25" t="inlineStr">
        <is>
          <t>kitöltendő</t>
        </is>
      </c>
    </row>
    <row r="26" ht="34.5" customHeight="1" s="18">
      <c r="A26" s="25" t="inlineStr">
        <is>
          <t>Q-25</t>
        </is>
      </c>
      <c r="B26" s="25" t="inlineStr">
        <is>
          <t>Dokumentáció</t>
        </is>
      </c>
      <c r="C26" s="25" t="inlineStr">
        <is>
          <t>1. fejezet: [FORRÁS KELL] jelölések (OBD-II/EOBD bevezetés időpontjai, CAN kötelezővé tétele, ISO 15765-4 sebességek és P2 idő, BLE/ESP-NOW számértékek, piaci megoldások); könyvhivatkozások (Johnson, Ott) oldalszámai; az irodalomjegyzék megtekintési dátumai</t>
        </is>
      </c>
      <c r="D26" s="25" t="inlineStr">
        <is>
          <t>Források ellenőrzése a szerzővel</t>
        </is>
      </c>
      <c r="E26" s="25" t="inlineStr">
        <is>
          <t>kitöltendő</t>
        </is>
      </c>
    </row>
    <row r="27" ht="34.5" customHeight="1" s="18">
      <c r="A27" s="25" t="inlineStr">
        <is>
          <t>Q-26</t>
        </is>
      </c>
      <c r="B27" s="25" t="inlineStr">
        <is>
          <t>Dokumentáció</t>
        </is>
      </c>
      <c r="C27" s="25" t="inlineStr">
        <is>
          <t>OpenGauge.md: az OBD-panel mérete (kb. 41,8 × 59,1 mm; 80,1 mm a csatlakozóval) a kezdeti 55 × 35 mm-es korlát fölött van: a KiCad-méretezés értelmezése helyes-e, és zavarja-e a lábteret az autóban?</t>
        </is>
      </c>
      <c r="D27" s="25" t="inlineStr">
        <is>
          <t>KiCad-méretek újraolvasása; beépítés az autóban</t>
        </is>
      </c>
      <c r="E27" s="25" t="inlineStr">
        <is>
          <t>Nyitott</t>
        </is>
      </c>
    </row>
    <row r="28" ht="23.25" customHeight="1" s="18">
      <c r="A28" s="25" t="inlineStr">
        <is>
          <t>Q-27</t>
        </is>
      </c>
      <c r="B28" s="25" t="inlineStr">
        <is>
          <t>Dokumentáció</t>
        </is>
      </c>
      <c r="C28" s="25" t="inlineStr">
        <is>
          <t>Indulási idő célérték: 3 s (becslés). Külön cél kell-e az alvásból ébredésre?</t>
        </is>
      </c>
      <c r="D28" s="25" t="inlineStr">
        <is>
          <t>M7 mérés; a protokoll-keresés és az ébresztési periódus ismeretében</t>
        </is>
      </c>
      <c r="E28" s="25" t="inlineStr">
        <is>
          <t>Nyitott</t>
        </is>
      </c>
    </row>
    <row r="29" ht="45.75" customHeight="1" s="18">
      <c r="A29" s="25" t="inlineStr">
        <is>
          <t>Q-28</t>
        </is>
      </c>
      <c r="B29" s="25" t="inlineStr">
        <is>
          <t>Dokumentáció</t>
        </is>
      </c>
      <c r="C29" s="25" t="inlineStr">
        <is>
          <t>A két magyar műszaki leírás (obd_telemetria_…, display_node_…) néhány állítása elavult/ellentmondásos: 16 bájtos csomag (most 15 B), „&lt; 4 ms” késleltetés, csak 500 kbit/s, ELM327 „mért” késleltetés, „40–60 Hz” megjelenítés, 240…480 px kijelző, „Spotify metaadatok”, helykitöltők (1. ábra)</t>
        </is>
      </c>
      <c r="D29" s="25" t="inlineStr">
        <is>
          <t>Konzisztencia-átnézés a Szoftverterv és a v0.5 dolgozat szerint</t>
        </is>
      </c>
      <c r="E29" s="25" t="inlineStr">
        <is>
          <t>Nyitott</t>
        </is>
      </c>
    </row>
    <row r="30" ht="15" customHeight="1" s="18">
      <c r="A30" s="25" t="inlineStr">
        <is>
          <t>Q-29</t>
        </is>
      </c>
      <c r="B30" s="25" t="inlineStr">
        <is>
          <t>Dokumentáció</t>
        </is>
      </c>
      <c r="C30" s="25" t="inlineStr">
        <is>
          <t>A klasszikus J1979 PDF (law.resource.org) ellenőrzéséhez: PID-képletek (0C, 0D, 05, 11, 42, 01), 09-es mód VIN. A feltöltött J1979-2 másolat ezt nem tartalmazza.</t>
        </is>
      </c>
      <c r="D30" s="25" t="inlineStr">
        <is>
          <t>A hallgató a link beillesztésével engedélyezi a megnyitást, vagy feltölti a PDF-et</t>
        </is>
      </c>
      <c r="E30" s="25" t="inlineStr">
        <is>
          <t>Nyitott</t>
        </is>
      </c>
    </row>
    <row r="31" ht="15" customHeight="1" s="18">
      <c r="A31" s="25" t="inlineStr">
        <is>
          <t>Q-30</t>
        </is>
      </c>
      <c r="B31" s="25" t="inlineStr">
        <is>
          <t>Dokumentáció</t>
        </is>
      </c>
      <c r="C31" s="25" t="inlineStr">
        <is>
          <t>Címlapadatok: magyar és angol cím, név, Neptun-kód, konzulens neve és beosztása, év</t>
        </is>
      </c>
      <c r="D31" s="25" t="inlineStr">
        <is>
          <t>A hallgató megadja</t>
        </is>
      </c>
      <c r="E31" s="25" t="inlineStr">
        <is>
          <t>Nyitott</t>
        </is>
      </c>
    </row>
    <row r="32" ht="23.25" customHeight="1" s="18">
      <c r="A32" s="25" t="inlineStr">
        <is>
          <t>Q-31</t>
        </is>
      </c>
      <c r="B32" s="25" t="inlineStr">
        <is>
          <t>Szoftver</t>
        </is>
      </c>
      <c r="C32" s="25" t="inlineStr">
        <is>
          <t>Waveshare 1,85″ modul demókódja (ST77916 init-parancssorozat) – az esp_lcd_st77916 komponenshez kell Válasz (2026-10-24): Waveshare-demókód nem került elő; a panel init-táblája az ESP32_Display_Panel könyvtárból (Apache-2.0) működik (H-19).</t>
        </is>
      </c>
      <c r="D32" s="25" t="inlineStr">
        <is>
          <t>A hallgató letölti a Waveshare wikiből és feltölti a kijelző-meghajtó fájlt</t>
        </is>
      </c>
      <c r="E32" s="25" t="inlineStr">
        <is>
          <t>Megválaszolt</t>
        </is>
      </c>
    </row>
    <row r="33" ht="15" customHeight="1" s="18">
      <c r="A33" s="25" t="inlineStr">
        <is>
          <t>Q-32</t>
        </is>
      </c>
      <c r="B33" s="25" t="inlineStr">
        <is>
          <t>Szoftver</t>
        </is>
      </c>
      <c r="C33" s="25" t="inlineStr">
        <is>
          <t>Mikor lesz hardver a hallgatónál (S2, S3, kijelző)? A hardveres napok (okt. 27–29) ettől függenek Válasz (2026-10-24): az S2, a C3 SuperMini, a CAN-modulok, az S3 devkit és a kijelző megvan.</t>
        </is>
      </c>
      <c r="D33" s="25" t="inlineStr">
        <is>
          <t>A hallgató megadja</t>
        </is>
      </c>
      <c r="E33" s="25" t="inlineStr">
        <is>
          <t>Megválaszolt</t>
        </is>
      </c>
    </row>
    <row r="34" ht="23.25" customHeight="1" s="18">
      <c r="A34" s="25" t="inlineStr">
        <is>
          <t>Q-33</t>
        </is>
      </c>
      <c r="B34" s="25" t="inlineStr">
        <is>
          <t>Dokumentáció</t>
        </is>
      </c>
      <c r="C34" s="25" t="inlineStr">
        <is>
          <t>Az irodalomjegyzékben az ISO 15765-4 kiadási éve 2021, az ellenőrzött szöveg (law.resource.org) a 2005-ös kiadás: melyik kiadásra hivatkozik a dolgozat?</t>
        </is>
      </c>
      <c r="D34" s="25" t="inlineStr">
        <is>
          <t>A hallgató dönt, az évet és a pontszámokat egyeztetni kell</t>
        </is>
      </c>
      <c r="E34" s="25" t="inlineStr">
        <is>
          <t>Nyitott</t>
        </is>
      </c>
    </row>
    <row r="35" ht="23.25" customHeight="1" s="18">
      <c r="A35" s="27" t="inlineStr">
        <is>
          <t>Q-34</t>
        </is>
      </c>
      <c r="B35" s="27" t="inlineStr">
        <is>
          <t>Display</t>
        </is>
      </c>
      <c r="C35" s="27" t="inlineStr">
        <is>
          <t>A kerek kijelző tájolása a házban: a kép a modul csatlakozójához képest el van forgatva; a végleges „fent” irányt (tengelycsere/tükrözés) a beépítés dönti el.</t>
        </is>
      </c>
      <c r="D35" s="27" t="inlineStr">
        <is>
          <t>Ház tervezésekor (Q-21)</t>
        </is>
      </c>
      <c r="E35" s="27" t="inlineStr">
        <is>
          <t>Nyitott</t>
        </is>
      </c>
    </row>
    <row r="36" ht="23.25" customHeight="1" s="18">
      <c r="A36" s="27" t="inlineStr">
        <is>
          <t>Q-35</t>
        </is>
      </c>
      <c r="B36" s="27" t="inlineStr">
        <is>
          <t>Szoftver</t>
        </is>
      </c>
      <c r="C36" s="27" t="inlineStr">
        <is>
          <t>Mekkora a CPU-terhelés (1. mag) a végleges felületen, ha a frissítést 30 vagy 60 FPS-re korlátozzuk? 10 ms-os periódusnál az LVGL folyamatos animációval 80–99 %-on fut.</t>
        </is>
      </c>
      <c r="D36" s="27" t="inlineStr">
        <is>
          <t>LVGL sysmon mérés 33 és 16 ms-os periódussal</t>
        </is>
      </c>
      <c r="E36" s="27" t="inlineStr">
        <is>
          <t>Nyitott</t>
        </is>
      </c>
    </row>
  </sheetData>
  <autoFilter ref="A1:E18"/>
  <dataValidations count="1">
    <dataValidation sqref="E2:E500" showDropDown="0" showInputMessage="0" showErrorMessage="0" allowBlank="1" type="list" errorStyle="stop" operator="between">
      <formula1>"Nyitott,Megválaszolt,Elvetve"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7" min="1" max="2"/>
    <col width="60" customWidth="1" style="17" min="3" max="3"/>
    <col width="10" customWidth="1" style="17" min="4" max="4"/>
    <col width="16" customWidth="1" style="17" min="5" max="5"/>
    <col width="55" customWidth="1" style="17" min="6" max="6"/>
    <col width="14" customWidth="1" style="17" min="7" max="7"/>
  </cols>
  <sheetData>
    <row r="1" ht="30" customHeight="1" s="18">
      <c r="A1" s="24" t="inlineStr">
        <is>
          <t>Azonosító</t>
        </is>
      </c>
      <c r="B1" s="24" t="inlineStr">
        <is>
          <t>Projekt</t>
        </is>
      </c>
      <c r="C1" s="24" t="inlineStr">
        <is>
          <t>Funkció</t>
        </is>
      </c>
      <c r="D1" s="24" t="inlineStr">
        <is>
          <t>Prioritás</t>
        </is>
      </c>
      <c r="E1" s="24" t="inlineStr">
        <is>
          <t>Nehézség</t>
        </is>
      </c>
      <c r="F1" s="24" t="inlineStr">
        <is>
          <t>Megjegyzés</t>
        </is>
      </c>
      <c r="G1" s="24" t="inlineStr">
        <is>
          <t>Funkciólista</t>
        </is>
      </c>
    </row>
    <row r="2" ht="15" customHeight="1" s="18">
      <c r="A2" s="25" t="inlineStr">
        <is>
          <t>S-01</t>
        </is>
      </c>
      <c r="B2" s="25" t="inlineStr">
        <is>
          <t>Közös</t>
        </is>
      </c>
      <c r="C2" s="25" t="inlineStr">
        <is>
          <t>Csomagformátum + verzió + sorszám (közös komponens)</t>
        </is>
      </c>
      <c r="D2" s="25" t="inlineStr">
        <is>
          <t>P1</t>
        </is>
      </c>
      <c r="E2" s="25" t="inlineStr">
        <is>
          <t>Könnyű</t>
        </is>
      </c>
      <c r="F2" s="25" t="inlineStr">
        <is>
          <t>Mindkét projekt ezt használja; CRC16 helyett sorszám és verzió.</t>
        </is>
      </c>
      <c r="G2" s="25" t="inlineStr">
        <is>
          <t>–</t>
        </is>
      </c>
    </row>
    <row r="3" ht="23.25" customHeight="1" s="18">
      <c r="A3" s="25" t="inlineStr">
        <is>
          <t>S-02</t>
        </is>
      </c>
      <c r="B3" s="25" t="inlineStr">
        <is>
          <t>OBD</t>
        </is>
      </c>
      <c r="C3" s="25" t="inlineStr">
        <is>
          <t>TWAI + protokollkeresés (500/250 kbps, 11/29 bit), támogatott PID-ek (01 00/20/40)</t>
        </is>
      </c>
      <c r="D3" s="25" t="inlineStr">
        <is>
          <t>P1</t>
        </is>
      </c>
      <c r="E3" s="25" t="inlineStr">
        <is>
          <t>Közepes</t>
        </is>
      </c>
      <c r="F3" s="25" t="inlineStr">
        <is>
          <t>Listen-only hallgatás, majd 01 00 kérés; fizikai címzés (0x7E0) a felfedezés után. [2026-10-21] PC-n kész és tesztelt: obd_detect (500/250 kbit/s × 11/29 bit, 01 00 → 22 F8 10, OBDonUDS jelzése). Eltérés a tervtől: a felismerés NEM használ listen-only hallgatást (a CanConfig támogatja, de nincs bekötve). Hátra: TwaiBus (hardveres illesztő). [2026-10-24] Hardveren tesztelve (S2 ECU-szimulátor ↔ C3, SN65HVD230 modulok, 500 kbit/s, 11 bit): felismerés és lekérdezés működik; szakadás után a C3 újra felismeri a buszt. TwaiBus kész (og_twai).</t>
        </is>
      </c>
      <c r="G3" s="25" t="inlineStr">
        <is>
          <t>F-OBD-01</t>
        </is>
      </c>
    </row>
    <row r="4" ht="15" customHeight="1" s="18">
      <c r="A4" s="25" t="inlineStr">
        <is>
          <t>S-03</t>
        </is>
      </c>
      <c r="B4" s="25" t="inlineStr">
        <is>
          <t>OBD</t>
        </is>
      </c>
      <c r="C4" s="25" t="inlineStr">
        <is>
          <t>PID-ütemező (rétegelt)</t>
        </is>
      </c>
      <c r="D4" s="25" t="inlineStr">
        <is>
          <t>P1</t>
        </is>
      </c>
      <c r="E4" s="25" t="inlineStr">
        <is>
          <t>Közepes</t>
        </is>
      </c>
      <c r="F4" s="25" t="inlineStr">
        <is>
          <t>Lásd PID-terv lent. [2026-10-21] PC-n kész és tesztelt: PidScheduler (késés/periódus rangsor; 10 s-os terhelésszimuláció ≈79%). [2026-10-24] Hardveren: válaszidő 41–42 ms (a szimulátoré 40 ms), fordulatszám 10 Hz, 0 hibás kérés a stabil szakaszban.</t>
        </is>
      </c>
      <c r="G4" s="25" t="inlineStr">
        <is>
          <t>F-OBD-02</t>
        </is>
      </c>
    </row>
    <row r="5" ht="15" customHeight="1" s="18">
      <c r="A5" s="25" t="inlineStr">
        <is>
          <t>S-04</t>
        </is>
      </c>
      <c r="B5" s="25" t="inlineStr">
        <is>
          <t>OBD</t>
        </is>
      </c>
      <c r="C5" s="25" t="inlineStr">
        <is>
          <t>Telemetria-adás ESP-NOW-n (rögzített csatorna)</t>
        </is>
      </c>
      <c r="D5" s="25" t="inlineStr">
        <is>
          <t>P1</t>
        </is>
      </c>
      <c r="E5" s="25" t="inlineStr">
        <is>
          <t>Könnyű</t>
        </is>
      </c>
      <c r="F5" s="25" t="inlineStr">
        <is>
          <t>10–20 Hz, a kész ciklusokhoz igazítva.</t>
        </is>
      </c>
      <c r="G5" s="25" t="inlineStr">
        <is>
          <t>F-OBD-04</t>
        </is>
      </c>
    </row>
    <row r="6" ht="15" customHeight="1" s="18">
      <c r="A6" s="25" t="inlineStr">
        <is>
          <t>S-05</t>
        </is>
      </c>
      <c r="B6" s="25" t="inlineStr">
        <is>
          <t>Display</t>
        </is>
      </c>
      <c r="C6" s="25" t="inlineStr">
        <is>
          <t>ST77916 QSPI + háttérvilágítás-PWM</t>
        </is>
      </c>
      <c r="D6" s="25" t="inlineStr">
        <is>
          <t>P1</t>
        </is>
      </c>
      <c r="E6" s="25" t="inlineStr">
        <is>
          <t>Közepes</t>
        </is>
      </c>
      <c r="F6" s="25" t="inlineStr">
        <is>
          <t>esp_lcd_st77916 komponens; 40 MHz-ről indulni. [2026-10-24] Kész: disp_lcd, Waveshare 1,85″ init-tábla (H-19), háttérvilágítás-PWM; 40 MHz-en hibátlan.</t>
        </is>
      </c>
      <c r="G6" s="25" t="inlineStr">
        <is>
          <t>F-DISP-01</t>
        </is>
      </c>
    </row>
    <row r="7" ht="15" customHeight="1" s="18">
      <c r="A7" s="25" t="inlineStr">
        <is>
          <t>S-06</t>
        </is>
      </c>
      <c r="B7" s="25" t="inlineStr">
        <is>
          <t>Display</t>
        </is>
      </c>
      <c r="C7" s="25" t="inlineStr">
        <is>
          <t>LVGL + esp_lvgl_port, részleges frissítés, TE</t>
        </is>
      </c>
      <c r="D7" s="25" t="inlineStr">
        <is>
          <t>P1</t>
        </is>
      </c>
      <c r="E7" s="25" t="inlineStr">
        <is>
          <t>Közepes</t>
        </is>
      </c>
      <c r="F7" s="25" t="inlineStr">
        <is>
          <t>Belső SRAM puffer, a teljes képkocka PSRAM-ban. [2026-10-25] LVGL 9.6 + esp_lvgl_port 2.9: részleges frissítés 2 × 40 soros DMA-pufferrel, 66–72 FPS 20 és 40 MHz-en is (a rajzolás a korlát); LVGL-feladat az 1. magon, 80–99 % terhelés 10 ms-os frissítési periódusnál.</t>
        </is>
      </c>
      <c r="G7" s="25" t="inlineStr">
        <is>
          <t>F-DISP-02</t>
        </is>
      </c>
    </row>
    <row r="8" ht="15" customHeight="1" s="18">
      <c r="A8" s="25" t="inlineStr">
        <is>
          <t>S-07</t>
        </is>
      </c>
      <c r="B8" s="25" t="inlineStr">
        <is>
          <t>Display</t>
        </is>
      </c>
      <c r="C8" s="25" t="inlineStr">
        <is>
          <t>ESP-NOW vétel + sor + simítás</t>
        </is>
      </c>
      <c r="D8" s="25" t="inlineStr">
        <is>
          <t>P1</t>
        </is>
      </c>
      <c r="E8" s="25" t="inlineStr">
        <is>
          <t>Könnyű–közepes</t>
        </is>
      </c>
      <c r="F8" s="25" t="inlineStr">
        <is>
          <t>Callback rövid, adat queue-ba; sorszám-ellenőrzés.</t>
        </is>
      </c>
      <c r="G8" s="25" t="inlineStr">
        <is>
          <t>F-DISP-05</t>
        </is>
      </c>
    </row>
    <row r="9" ht="15" customHeight="1" s="18">
      <c r="A9" s="25" t="inlineStr">
        <is>
          <t>S-08</t>
        </is>
      </c>
      <c r="B9" s="25" t="inlineStr">
        <is>
          <t>Display</t>
        </is>
      </c>
      <c r="C9" s="25" t="inlineStr">
        <is>
          <t>Műszerfal-nézet (RPM mutató, sebesség, MIL, hűtővíz)</t>
        </is>
      </c>
      <c r="D9" s="25" t="inlineStr">
        <is>
          <t>P1</t>
        </is>
      </c>
      <c r="E9" s="25" t="inlineStr">
        <is>
          <t>Közepes</t>
        </is>
      </c>
      <c r="F9" s="25" t="inlineStr">
        <is>
          <t>LVGL animáció a 10 Hz-es adat közt.</t>
        </is>
      </c>
      <c r="G9" s="25" t="inlineStr">
        <is>
          <t>F-DISP-04</t>
        </is>
      </c>
    </row>
    <row r="10" ht="15" customHeight="1" s="18">
      <c r="A10" s="25" t="inlineStr">
        <is>
          <t>S-09</t>
        </is>
      </c>
      <c r="B10" s="25" t="inlineStr">
        <is>
          <t>Display</t>
        </is>
      </c>
      <c r="C10" s="25" t="inlineStr">
        <is>
          <t>CST816S érintő + gesztusok</t>
        </is>
      </c>
      <c r="D10" s="25" t="inlineStr">
        <is>
          <t>P2</t>
        </is>
      </c>
      <c r="E10" s="25" t="inlineStr">
        <is>
          <t>Könnyű–közepes</t>
        </is>
      </c>
      <c r="F10" s="25" t="inlineStr">
        <is>
          <t>Reset-impulzus, alvás-letiltás; 100 kHz I²C.</t>
        </is>
      </c>
      <c r="G10" s="25" t="inlineStr">
        <is>
          <t>F-DISP-03</t>
        </is>
      </c>
    </row>
    <row r="11" ht="15" customHeight="1" s="18">
      <c r="A11" s="25" t="inlineStr">
        <is>
          <t>S-10</t>
        </is>
      </c>
      <c r="B11" s="25" t="inlineStr">
        <is>
          <t>Display</t>
        </is>
      </c>
      <c r="C11" s="25" t="inlineStr">
        <is>
          <t>Másodlagos nézet (telemetria részletek)</t>
        </is>
      </c>
      <c r="D11" s="25" t="inlineStr">
        <is>
          <t>P2</t>
        </is>
      </c>
      <c r="E11" s="25" t="inlineStr">
        <is>
          <t>Könnyű</t>
        </is>
      </c>
      <c r="F11" s="25" t="n"/>
      <c r="G11" s="25" t="inlineStr">
        <is>
          <t>F-DISP-04</t>
        </is>
      </c>
    </row>
    <row r="12" ht="15" customHeight="1" s="18">
      <c r="A12" s="25" t="inlineStr">
        <is>
          <t>S-11</t>
        </is>
      </c>
      <c r="B12" s="25" t="inlineStr">
        <is>
          <t>Display</t>
        </is>
      </c>
      <c r="C12" s="25" t="inlineStr">
        <is>
          <t>Akkumulátor-mérés (IO7 ADC) és töltöttség %</t>
        </is>
      </c>
      <c r="D12" s="25" t="inlineStr">
        <is>
          <t>P2</t>
        </is>
      </c>
      <c r="E12" s="25" t="inlineStr">
        <is>
          <t>Könnyű</t>
        </is>
      </c>
      <c r="F12" s="25" t="inlineStr">
        <is>
          <t>Töltés közben a feszültségből számolt % pontatlan.</t>
        </is>
      </c>
      <c r="G12" s="25" t="inlineStr">
        <is>
          <t>F-DISP-07</t>
        </is>
      </c>
    </row>
    <row r="13" ht="15" customHeight="1" s="18">
      <c r="A13" s="25" t="inlineStr">
        <is>
          <t>S-12</t>
        </is>
      </c>
      <c r="B13" s="25" t="inlineStr">
        <is>
          <t>OBD</t>
        </is>
      </c>
      <c r="C13" s="25" t="inlineStr">
        <is>
          <t>Light sleep + időzített busz-figyelés + key-on ébredés</t>
        </is>
      </c>
      <c r="D13" s="25" t="inlineStr">
        <is>
          <t>P2</t>
        </is>
      </c>
      <c r="E13" s="25" t="inlineStr">
        <is>
          <t>Közepes–nehéz</t>
        </is>
      </c>
      <c r="F13" s="25" t="inlineStr">
        <is>
          <t>Lásd H-11, V-12; méréssel finomítandó.</t>
        </is>
      </c>
      <c r="G13" s="25" t="inlineStr">
        <is>
          <t>F-OBD-03</t>
        </is>
      </c>
    </row>
    <row r="14" ht="15" customHeight="1" s="18">
      <c r="A14" s="25" t="inlineStr">
        <is>
          <t>S-13</t>
        </is>
      </c>
      <c r="B14" s="25" t="inlineStr">
        <is>
          <t>Közös</t>
        </is>
      </c>
      <c r="C14" s="25" t="inlineStr">
        <is>
          <t>BLE ébresztő hirdetés (OBD) + BLE szkennelés (display) + átváltás</t>
        </is>
      </c>
      <c r="D14" s="25" t="inlineStr">
        <is>
          <t>P2</t>
        </is>
      </c>
      <c r="E14" s="25" t="inlineStr">
        <is>
          <t>Nehéz</t>
        </is>
      </c>
      <c r="F14" s="25" t="inlineStr">
        <is>
          <t>Lásd H-15, H-16.</t>
        </is>
      </c>
      <c r="G14" s="25" t="inlineStr">
        <is>
          <t>F-DISP-07</t>
        </is>
      </c>
    </row>
    <row r="15" ht="15" customHeight="1" s="18">
      <c r="A15" s="25" t="inlineStr">
        <is>
          <t>S-14</t>
        </is>
      </c>
      <c r="B15" s="25" t="inlineStr">
        <is>
          <t>Display</t>
        </is>
      </c>
      <c r="C15" s="25" t="inlineStr">
        <is>
          <t>iOS médiavezérlés: Apple Media Service</t>
        </is>
      </c>
      <c r="D15" s="25" t="inlineStr">
        <is>
          <t>P3</t>
        </is>
      </c>
      <c r="E15" s="25" t="inlineStr">
        <is>
          <t>Nehéz</t>
        </is>
      </c>
      <c r="F15" s="25" t="inlineStr">
        <is>
          <t>Párosítás/bonding, metaadatok, vezérlés.</t>
        </is>
      </c>
      <c r="G15" s="25" t="inlineStr">
        <is>
          <t>F-DISP-06</t>
        </is>
      </c>
    </row>
    <row r="16" ht="15" customHeight="1" s="18">
      <c r="A16" s="25" t="inlineStr">
        <is>
          <t>S-15</t>
        </is>
      </c>
      <c r="B16" s="25" t="inlineStr">
        <is>
          <t>Display</t>
        </is>
      </c>
      <c r="C16" s="25" t="inlineStr">
        <is>
          <t>BLE HID médiabillentyűk (Android-tartalék)</t>
        </is>
      </c>
      <c r="D16" s="25" t="inlineStr">
        <is>
          <t>P3</t>
        </is>
      </c>
      <c r="E16" s="25" t="inlineStr">
        <is>
          <t>Közepes</t>
        </is>
      </c>
      <c r="F16" s="25" t="inlineStr">
        <is>
          <t>Csak vezérlés, metaadat nélkül.</t>
        </is>
      </c>
      <c r="G16" s="25" t="inlineStr">
        <is>
          <t>F-DISP-06</t>
        </is>
      </c>
    </row>
    <row r="17" ht="15" customHeight="1" s="18">
      <c r="A17" s="25" t="inlineStr">
        <is>
          <t>S-16</t>
        </is>
      </c>
      <c r="B17" s="25" t="inlineStr">
        <is>
          <t>OBD</t>
        </is>
      </c>
      <c r="C17" s="25" t="inlineStr">
        <is>
          <t>Hibakódolvasás (Mode 03, 01 01 DTC-szám); csak olvasás</t>
        </is>
      </c>
      <c r="D17" s="25" t="inlineStr">
        <is>
          <t>P3</t>
        </is>
      </c>
      <c r="E17" s="25" t="inlineStr">
        <is>
          <t>Közepes</t>
        </is>
      </c>
      <c r="F17" s="25" t="inlineStr">
        <is>
          <t>Többkeretes ISO-TP szükséges (flow control). A törlés (Mode 04) kizárva: az eszköz csak olvasó marad (T-22). [2026-10-21] Az olvasási oldal (Mode 03 darabszám) PC-n kész; a hibakódpárok kibontása P3.</t>
        </is>
      </c>
      <c r="G17" s="25" t="inlineStr">
        <is>
          <t>–</t>
        </is>
      </c>
    </row>
    <row r="18" ht="23.25" customHeight="1" s="18">
      <c r="A18" s="25" t="inlineStr">
        <is>
          <t>S-18</t>
        </is>
      </c>
      <c r="B18" s="25" t="inlineStr">
        <is>
          <t>OBD</t>
        </is>
      </c>
      <c r="C18" s="25" t="inlineStr">
        <is>
          <t>VIN lekérés (Mode 09 PID 02) minden indításnál; támogatás ellenőrzése 09 00-val</t>
        </is>
      </c>
      <c r="D18" s="25" t="inlineStr">
        <is>
          <t>P2</t>
        </is>
      </c>
      <c r="E18" s="25" t="inlineStr">
        <is>
          <t>Közepes</t>
        </is>
      </c>
      <c r="F18" s="25" t="inlineStr">
        <is>
          <t>Többkeretes ISO-TP (flow control) kell; nem minden autó adja ki. [2026-10-21] PC-n kész és tesztelt: többkeretes ISO-TP + VIN-értelmező. A VIN-formátum a klasszikus J1979 szerint ellenőrzendő (Q-29).</t>
        </is>
      </c>
      <c r="G18" s="25" t="inlineStr">
        <is>
          <t>–</t>
        </is>
      </c>
    </row>
    <row r="19" ht="15" customHeight="1" s="18">
      <c r="A19" s="25" t="inlineStr">
        <is>
          <t>S-19</t>
        </is>
      </c>
      <c r="B19" s="25" t="inlineStr">
        <is>
          <t>Display</t>
        </is>
      </c>
      <c r="C19" s="25" t="inlineStr">
        <is>
          <t>Márkafelismerés WMI-ből, logó és egyszerű indulási animáció</t>
        </is>
      </c>
      <c r="D19" s="25" t="inlineStr">
        <is>
          <t>P3</t>
        </is>
      </c>
      <c r="E19" s="25" t="inlineStr">
        <is>
          <t>Könnyű–közepes</t>
        </is>
      </c>
      <c r="F19" s="25" t="inlineStr">
        <is>
          <t>Logótábla a flashben; ismeretlen WMI esetén általános logó.</t>
        </is>
      </c>
      <c r="G19" s="25" t="inlineStr">
        <is>
          <t>–</t>
        </is>
      </c>
    </row>
    <row r="20" ht="15" customHeight="1" s="18">
      <c r="A20" s="25" t="inlineStr">
        <is>
          <t>S-20</t>
        </is>
      </c>
      <c r="B20" s="25" t="inlineStr">
        <is>
          <t>Közös</t>
        </is>
      </c>
      <c r="C20" s="25" t="inlineStr">
        <is>
          <t>Display → OBD üzenetkészlet (READY, HEARTBEAT, KÉRÉS, ALVÁS)</t>
        </is>
      </c>
      <c r="D20" s="25" t="inlineStr">
        <is>
          <t>P1</t>
        </is>
      </c>
      <c r="E20" s="25" t="inlineStr">
        <is>
          <t>Könnyű</t>
        </is>
      </c>
      <c r="F20" s="25" t="inlineStr">
        <is>
          <t>A közös komponens része, verziózott.</t>
        </is>
      </c>
      <c r="G20" s="25" t="inlineStr">
        <is>
          <t>–</t>
        </is>
      </c>
    </row>
    <row r="21" ht="34.5" customHeight="1" s="18">
      <c r="A21" s="25" t="inlineStr">
        <is>
          <t>S-21</t>
        </is>
      </c>
      <c r="B21" s="25" t="inlineStr">
        <is>
          <t>Teszt</t>
        </is>
      </c>
      <c r="C21" s="25" t="inlineStr">
        <is>
          <t>ECU-szimulátor ESP32-S2-n: PID-válaszok (0C, 0D, 05, 11, 42, 01, 00), VIN többkeretesen flow controllal, hibakódok, buszforgalom be/ki a buszalvás és ébredés teszteléséhez</t>
        </is>
      </c>
      <c r="D21" s="25" t="inlineStr">
        <is>
          <t>P2</t>
        </is>
      </c>
      <c r="E21" s="25" t="inlineStr">
        <is>
          <t>Közepes</t>
        </is>
      </c>
      <c r="F21" s="25" t="inlineStr">
        <is>
          <t>Az S-12 és S-18 teszteléséhez kell; az S2-n nincs BLE. [2026-10-21] Az ECU-modell (ecu_model) kész és PC-n tesztelt; hátra: az S2-n futó, valós CAN-ra kötött változat. [2026-10-24] Hardveren fut (S2): az EcuModel valódi CAN-on; menuconfigban sebesség, 29 bit, OBDonUDS, válaszidő és hibakódszám állítható.</t>
        </is>
      </c>
      <c r="G21" s="25" t="inlineStr">
        <is>
          <t>–</t>
        </is>
      </c>
    </row>
    <row r="22" ht="15" customHeight="1" s="18">
      <c r="A22" s="25" t="inlineStr">
        <is>
          <t>S-17</t>
        </is>
      </c>
      <c r="B22" s="25" t="inlineStr">
        <is>
          <t>Display</t>
        </is>
      </c>
      <c r="C22" s="25" t="inlineStr">
        <is>
          <t>Média nézet UI</t>
        </is>
      </c>
      <c r="D22" s="25" t="inlineStr">
        <is>
          <t>P3</t>
        </is>
      </c>
      <c r="E22" s="25" t="inlineStr">
        <is>
          <t>Könnyű–közepes</t>
        </is>
      </c>
      <c r="F22" s="25" t="inlineStr">
        <is>
          <t>S-14/S-15 után.</t>
        </is>
      </c>
      <c r="G22" s="25" t="inlineStr">
        <is>
          <t>F-DISP-04</t>
        </is>
      </c>
    </row>
    <row r="23" ht="23.25" customHeight="1" s="18">
      <c r="A23" s="25" t="inlineStr">
        <is>
          <t>S-22</t>
        </is>
      </c>
      <c r="B23" s="25" t="inlineStr">
        <is>
          <t>Teszt</t>
        </is>
      </c>
      <c r="C23" s="25" t="inlineStr">
        <is>
          <t>ESP-NOW telemetria-generátor ESP32-S2-n (CAN nélkül): szintetikus RPM/sebesség/hűtővíz/MIL 10 Hz-en</t>
        </is>
      </c>
      <c r="D23" s="25" t="inlineStr">
        <is>
          <t>P1</t>
        </is>
      </c>
      <c r="E23" s="25" t="inlineStr">
        <is>
          <t>Könnyű</t>
        </is>
      </c>
      <c r="F23" s="25" t="inlineStr">
        <is>
          <t>A kijelző-fejlesztés (S-07, S-08) az OBD-egység nélkül; részletek: Szoftverterv lap.</t>
        </is>
      </c>
      <c r="G23" s="25" t="inlineStr">
        <is>
          <t>–</t>
        </is>
      </c>
    </row>
    <row r="24" ht="15" customHeight="1" s="18"/>
    <row r="25" ht="15" customHeight="1" s="18">
      <c r="A25" s="28" t="inlineStr">
        <is>
          <t>PID-terv (kezdőértékek; az autón mérendő)</t>
        </is>
      </c>
    </row>
    <row r="26" ht="15" customHeight="1" s="18">
      <c r="A26" s="29" t="inlineStr">
        <is>
          <t>PID</t>
        </is>
      </c>
      <c r="B26" s="29" t="inlineStr">
        <is>
          <t>Jel</t>
        </is>
      </c>
      <c r="C26" s="29" t="inlineStr">
        <is>
          <t>Gyakoriság (Hz)</t>
        </is>
      </c>
      <c r="D26" s="29" t="inlineStr">
        <is>
          <t>Megjegyzés</t>
        </is>
      </c>
    </row>
    <row r="27" ht="15" customHeight="1" s="18">
      <c r="A27" s="23" t="inlineStr">
        <is>
          <t>01 0C</t>
        </is>
      </c>
      <c r="B27" s="23" t="inlineStr">
        <is>
          <t>Fordulatszám</t>
        </is>
      </c>
      <c r="C27" s="30" t="n">
        <v>10</v>
      </c>
      <c r="D27" s="23" t="inlineStr">
        <is>
          <t>Minden ciklusban</t>
        </is>
      </c>
    </row>
    <row r="28" ht="15" customHeight="1" s="18">
      <c r="A28" s="23" t="inlineStr">
        <is>
          <t>01 0D</t>
        </is>
      </c>
      <c r="B28" s="23" t="inlineStr">
        <is>
          <t>Sebesség</t>
        </is>
      </c>
      <c r="C28" s="30" t="n">
        <v>5</v>
      </c>
      <c r="D28" s="23" t="inlineStr">
        <is>
          <t>Lassabban változik, mint az RPM; minden 2. ciklusban</t>
        </is>
      </c>
    </row>
    <row r="29" ht="15" customHeight="1" s="18">
      <c r="A29" s="23" t="inlineStr">
        <is>
          <t>01 11</t>
        </is>
      </c>
      <c r="B29" s="23" t="inlineStr">
        <is>
          <t>Fojtószelep</t>
        </is>
      </c>
      <c r="C29" s="30" t="n">
        <v>3</v>
      </c>
      <c r="D29" s="23" t="inlineStr">
        <is>
          <t>Másodlagos nézethez; nem minden ECU ismeri</t>
        </is>
      </c>
    </row>
    <row r="30" ht="15" customHeight="1" s="18">
      <c r="A30" s="23" t="inlineStr">
        <is>
          <t>01 05</t>
        </is>
      </c>
      <c r="B30" s="23" t="inlineStr">
        <is>
          <t>Hűtővíz hőmérséklet</t>
        </is>
      </c>
      <c r="C30" s="30" t="n">
        <v>1</v>
      </c>
      <c r="D30" s="23" t="inlineStr">
        <is>
          <t>Lassan változik</t>
        </is>
      </c>
    </row>
    <row r="31" ht="15" customHeight="1" s="18">
      <c r="A31" s="23" t="inlineStr">
        <is>
          <t>01 42</t>
        </is>
      </c>
      <c r="B31" s="23" t="inlineStr">
        <is>
          <t>ECU/akkumulátor feszültség</t>
        </is>
      </c>
      <c r="C31" s="30" t="n">
        <v>0.5</v>
      </c>
      <c r="D31" s="23" t="inlineStr">
        <is>
          <t>Lassan változik; nem minden autó</t>
        </is>
      </c>
    </row>
    <row r="32" ht="15" customHeight="1" s="18">
      <c r="A32" s="23" t="inlineStr">
        <is>
          <t>01 01</t>
        </is>
      </c>
      <c r="B32" s="23" t="inlineStr">
        <is>
          <t>MIL és hibakód-szám</t>
        </is>
      </c>
      <c r="C32" s="30" t="n">
        <v>0.2</v>
      </c>
      <c r="D32" s="23" t="inlineStr">
        <is>
          <t>5 másodpercenként</t>
        </is>
      </c>
    </row>
    <row r="33" ht="15" customHeight="1" s="18">
      <c r="A33" s="23" t="inlineStr">
        <is>
          <t>01 00/20/40</t>
        </is>
      </c>
      <c r="B33" s="23" t="inlineStr">
        <is>
          <t>Támogatott PID-ek</t>
        </is>
      </c>
      <c r="C33" s="30" t="n">
        <v>0</v>
      </c>
      <c r="D33" s="23" t="inlineStr">
        <is>
          <t>Csak induláskor (0 = egyszer)</t>
        </is>
      </c>
    </row>
    <row r="34" ht="15" customHeight="1" s="18"/>
    <row r="35" ht="15" customHeight="1" s="18">
      <c r="A35" s="23" t="inlineStr">
        <is>
          <t>Összes kérés/s</t>
        </is>
      </c>
      <c r="C35" s="23">
        <f>SUM(C27:C33)</f>
        <v/>
      </c>
    </row>
    <row r="36" ht="15" customHeight="1" s="18">
      <c r="A36" s="23" t="inlineStr">
        <is>
          <t>Feltételezett idő kérésenként (ms)</t>
        </is>
      </c>
      <c r="C36" s="30" t="n">
        <v>40</v>
      </c>
      <c r="D36" s="23" t="inlineStr">
        <is>
          <t>Feltevés (ECU válasz ≤ 50 ms az előírás szerint); a saját autón mérendő</t>
        </is>
      </c>
    </row>
    <row r="37" ht="15" customHeight="1" s="18">
      <c r="A37" s="23" t="inlineStr">
        <is>
          <t>Busz-/időkihasználtság</t>
        </is>
      </c>
      <c r="C37" s="31">
        <f>C35*C36/1000</f>
        <v/>
      </c>
      <c r="D37" s="23" t="inlineStr">
        <is>
          <t>Ha &gt; 100%, a gyakoriságokat csökkenteni kell</t>
        </is>
      </c>
    </row>
  </sheetData>
  <autoFilter ref="A1:G22"/>
  <dataValidations count="1">
    <dataValidation sqref="D2:D500" showDropDown="0" showInputMessage="0" showErrorMessage="0" allowBlank="1" type="list" errorStyle="stop" operator="between">
      <formula1>"P1,P2,P3"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30" customWidth="1" style="17" min="2" max="2"/>
    <col width="42" customWidth="1" style="17" min="3" max="3"/>
    <col width="64" customWidth="1" style="17" min="4" max="4"/>
    <col width="40" customWidth="1" style="17" min="5" max="5"/>
    <col width="12" customWidth="1" style="17" min="6" max="6"/>
  </cols>
  <sheetData>
    <row r="1" ht="15" customHeight="1" s="18">
      <c r="A1" s="32" t="inlineStr">
        <is>
          <t>Szoftverterv – modulok, fájlok, függvények és feladatok</t>
        </is>
      </c>
    </row>
    <row r="2" ht="45" customHeight="1" s="18">
      <c r="A2" s="33" t="inlineStr">
        <is>
          <t>Cél: kódolás előtt rögzíteni, melyik funkciót mi valósítja meg, melyik fájlban, milyen API-val. Nyelv: C++ (ESP-IDF komponensek, extern "C" app_main). Az azonosítók az S- sorokra (Szoftver lap) utalnak. A nevek munkanevek, kódolás közben pontosíthatók; a változásokat a Változtatások lapon kell vezetni.</t>
        </is>
      </c>
    </row>
    <row r="4" ht="15" customHeight="1" s="18">
      <c r="A4" s="32" t="inlineStr">
        <is>
          <t>1. Projekt- és könyvtárszerkezet</t>
        </is>
      </c>
    </row>
    <row r="5" ht="15" customHeight="1" s="18">
      <c r="A5" s="24" t="inlineStr">
        <is>
          <t>Elem</t>
        </is>
      </c>
      <c r="B5" s="24" t="inlineStr">
        <is>
          <t>Útvonal</t>
        </is>
      </c>
      <c r="C5" s="24" t="n"/>
      <c r="D5" s="24" t="inlineStr">
        <is>
          <t>Feladat</t>
        </is>
      </c>
      <c r="E5" s="24" t="n"/>
      <c r="F5" s="24" t="n"/>
    </row>
    <row r="6" ht="15" customHeight="1" s="18">
      <c r="A6" s="25" t="inlineStr">
        <is>
          <t>gyökér</t>
        </is>
      </c>
      <c r="B6" s="25" t="inlineStr">
        <is>
          <t>Project_OpenGauge/</t>
        </is>
      </c>
      <c r="C6" s="25" t="n"/>
      <c r="D6" s="25" t="inlineStr">
        <is>
          <t>Git-tároló. Két önálló ESP-IDF projekt + közös komponensek + eszközök.</t>
        </is>
      </c>
      <c r="E6" s="25" t="n"/>
      <c r="F6" s="25" t="n"/>
    </row>
    <row r="7" ht="23.25" customHeight="1" s="18">
      <c r="A7" s="25" t="inlineStr">
        <is>
          <t>közös</t>
        </is>
      </c>
      <c r="B7" s="25" t="inlineStr">
        <is>
          <t>components/og_protocol/</t>
        </is>
      </c>
      <c r="C7" s="25" t="n"/>
      <c r="D7" s="25" t="inlineStr">
        <is>
          <t>ESP-NOW üzenetformátum, üzenettípusok, kódolás/dekódolás, sorszám-ellenőrzés. Hardverfüggetlen.</t>
        </is>
      </c>
      <c r="E7" s="25" t="n"/>
      <c r="F7" s="25" t="inlineStr">
        <is>
          <t>S-01, S-20</t>
        </is>
      </c>
    </row>
    <row r="8" ht="34.5" customHeight="1" s="18">
      <c r="A8" s="25" t="inlineStr">
        <is>
          <t>közös</t>
        </is>
      </c>
      <c r="B8" s="25" t="inlineStr">
        <is>
          <t>components/og_obd/</t>
        </is>
      </c>
      <c r="C8" s="25" t="n"/>
      <c r="D8" s="25" t="inlineStr">
        <is>
          <t>OBD-logika hardver nélkül: PID-tábla és dekódolás/kódolás, ISO-TP állapotgép, CAN-keret és ICanBus interfész. Az OBD-egység és az ECU-szimulátor is ezt használja.</t>
        </is>
      </c>
      <c r="E8" s="25" t="n"/>
      <c r="F8" s="25" t="inlineStr">
        <is>
          <t>S-02, S-03, S-16, S-18, S-21</t>
        </is>
      </c>
    </row>
    <row r="9" ht="15" customHeight="1" s="18">
      <c r="A9" s="25" t="inlineStr">
        <is>
          <t>közös</t>
        </is>
      </c>
      <c r="B9" s="25" t="inlineStr">
        <is>
          <t>components/og_common/</t>
        </is>
      </c>
      <c r="C9" s="25" t="n"/>
      <c r="D9" s="25" t="inlineStr">
        <is>
          <t>Naplózás-segéd, hibakód-enum (og_err_t), időbélyeg (ms), kis segédek.</t>
        </is>
      </c>
      <c r="E9" s="25" t="n"/>
      <c r="F9" s="25" t="n"/>
    </row>
    <row r="10" ht="23.25" customHeight="1" s="18">
      <c r="A10" s="25" t="inlineStr">
        <is>
          <t>OBD</t>
        </is>
      </c>
      <c r="B10" s="25" t="inlineStr">
        <is>
          <t>obd_node/  (target: esp32c3)</t>
        </is>
      </c>
      <c r="C10" s="25" t="n"/>
      <c r="D10" s="25" t="inlineStr">
        <is>
          <t>Önálló projekt: CMakeLists.txt (EXTRA_COMPONENT_DIRS ../components), sdkconfig.defaults, main/app_main.cpp.</t>
        </is>
      </c>
      <c r="E10" s="25" t="n"/>
      <c r="F10" s="25" t="n"/>
    </row>
    <row r="11" ht="45.75" customHeight="1" s="18">
      <c r="A11" s="25" t="inlineStr">
        <is>
          <t>OBD</t>
        </is>
      </c>
      <c r="B11" s="25" t="inlineStr">
        <is>
          <t>obd_node/components/{board, obd_can, obd_detect, obd_scheduler, obd_link, obd_power}</t>
        </is>
      </c>
      <c r="C11" s="25" t="n"/>
      <c r="D11" s="25" t="inlineStr">
        <is>
          <t>Az OBD-egység hardverfüggő részei (lásd 3. fejezet).</t>
        </is>
      </c>
      <c r="E11" s="25" t="n"/>
      <c r="F11" s="25" t="n"/>
    </row>
    <row r="12" ht="15" customHeight="1" s="18">
      <c r="A12" s="25" t="inlineStr">
        <is>
          <t>Display</t>
        </is>
      </c>
      <c r="B12" s="25" t="inlineStr">
        <is>
          <t>display_node/  (target: esp32s3)</t>
        </is>
      </c>
      <c r="C12" s="25" t="n"/>
      <c r="D12" s="25" t="inlineStr">
        <is>
          <t>Önálló projekt, ugyanilyen szerkezet.</t>
        </is>
      </c>
      <c r="E12" s="25" t="n"/>
      <c r="F12" s="25" t="n"/>
    </row>
    <row r="13" ht="45.75" customHeight="1" s="18">
      <c r="A13" s="25" t="inlineStr">
        <is>
          <t>Display</t>
        </is>
      </c>
      <c r="B13" s="25" t="inlineStr">
        <is>
          <t>display_node/components/{board, disp_panel, disp_ui, disp_smooth, disp_link, disp_touch, disp_battery, disp_power}</t>
        </is>
      </c>
      <c r="C13" s="25" t="n"/>
      <c r="D13" s="25" t="inlineStr">
        <is>
          <t>A kijelzőegység hardverfüggő részei.</t>
        </is>
      </c>
      <c r="E13" s="25" t="n"/>
      <c r="F13" s="25" t="n"/>
    </row>
    <row r="14" ht="23.25" customHeight="1" s="18">
      <c r="A14" s="25" t="inlineStr">
        <is>
          <t>Eszköz</t>
        </is>
      </c>
      <c r="B14" s="25" t="inlineStr">
        <is>
          <t>tools/ecu_sim/  (target: esp32s2)</t>
        </is>
      </c>
      <c r="C14" s="25" t="n"/>
      <c r="D14" s="25" t="inlineStr">
        <is>
          <t>ESP32-S2 mini: két üzemmód (Kconfig): (a) ESP-NOW telemetria-generátor (CAN nélkül), (b) ECU-szimulátor (TWAI + PID-válaszok).</t>
        </is>
      </c>
      <c r="E14" s="25" t="n"/>
      <c r="F14" s="25" t="inlineStr">
        <is>
          <t>S-21, S-22</t>
        </is>
      </c>
    </row>
    <row r="15" ht="23.25" customHeight="1" s="18">
      <c r="A15" s="25" t="inlineStr">
        <is>
          <t>Eszköz</t>
        </is>
      </c>
      <c r="B15" s="25" t="inlineStr">
        <is>
          <t>tools/host_test/</t>
        </is>
      </c>
      <c r="C15" s="25" t="n"/>
      <c r="D15" s="25" t="inlineStr">
        <is>
          <t>Hardver nélküli (PC-s) tesztek az og_protocol, og_obd, disp_smooth tiszta logikájára.</t>
        </is>
      </c>
      <c r="E15" s="25" t="n"/>
      <c r="F15" s="25" t="n"/>
    </row>
    <row r="16" ht="15" customHeight="1" s="18">
      <c r="A16" s="25" t="inlineStr">
        <is>
          <t>dok.</t>
        </is>
      </c>
      <c r="B16" s="25" t="inlineStr">
        <is>
          <t>docs/</t>
        </is>
      </c>
      <c r="C16" s="25" t="n"/>
      <c r="D16" s="25" t="inlineStr">
        <is>
          <t>Lábkiosztás-táblák, mérési jegyzőkönyvek, ábrák a dolgozathoz.</t>
        </is>
      </c>
      <c r="E16" s="25" t="n"/>
      <c r="F16" s="25" t="n"/>
    </row>
    <row r="18" ht="15" customHeight="1" s="18">
      <c r="A18" s="32" t="inlineStr">
        <is>
          <t>2. Használt könyvtárak és API-k</t>
        </is>
      </c>
    </row>
    <row r="19" ht="15" customHeight="1" s="18">
      <c r="A19" s="24" t="inlineStr">
        <is>
          <t>Könyvtár</t>
        </is>
      </c>
      <c r="B19" s="24" t="inlineStr">
        <is>
          <t>Forrás / verzió</t>
        </is>
      </c>
      <c r="C19" s="24" t="inlineStr">
        <is>
          <t>Mire</t>
        </is>
      </c>
      <c r="D19" s="24" t="inlineStr">
        <is>
          <t>Fő hívások / elemek</t>
        </is>
      </c>
      <c r="E19" s="24" t="inlineStr">
        <is>
          <t>Használja</t>
        </is>
      </c>
      <c r="F19" s="24" t="inlineStr">
        <is>
          <t>S</t>
        </is>
      </c>
    </row>
    <row r="20" ht="23.25" customHeight="1" s="18">
      <c r="A20" s="25" t="inlineStr">
        <is>
          <t>ESP-IDF</t>
        </is>
      </c>
      <c r="B20" s="25" t="inlineStr">
        <is>
          <t>5.x legfrissebb stabil (a pontos verziót az első build rögzíti)</t>
        </is>
      </c>
      <c r="C20" s="25" t="inlineStr">
        <is>
          <t>Alap: FreeRTOS, naplózás, NVS, időzítők</t>
        </is>
      </c>
      <c r="D20" s="25" t="inlineStr">
        <is>
          <t>xTaskCreatePinnedToCore, xQueueCreate/xQueueOverwrite, ESP_LOGx, nvs_flash_init, esp_timer_get_time</t>
        </is>
      </c>
      <c r="E20" s="25" t="inlineStr">
        <is>
          <t>mindkettő</t>
        </is>
      </c>
      <c r="F20" s="25" t="n"/>
    </row>
    <row r="21" ht="23.25" customHeight="1" s="18">
      <c r="A21" s="25" t="inlineStr">
        <is>
          <t>esp_wifi + esp_now</t>
        </is>
      </c>
      <c r="B21" s="25" t="inlineStr">
        <is>
          <t>ESP-IDF</t>
        </is>
      </c>
      <c r="C21" s="25" t="inlineStr">
        <is>
          <t>Vezeték nélküli adatátvitel, fix csatorna, nincs hozzáférési pont</t>
        </is>
      </c>
      <c r="D21" s="25" t="inlineStr">
        <is>
          <t>esp_wifi_init, esp_wifi_set_mode(STA), esp_wifi_set_channel, esp_now_init, esp_now_add_peer, esp_now_send, esp_now_register_recv_cb / send_cb</t>
        </is>
      </c>
      <c r="E21" s="25" t="inlineStr">
        <is>
          <t>mindkettő</t>
        </is>
      </c>
      <c r="F21" s="25" t="inlineStr">
        <is>
          <t>S-04, S-07</t>
        </is>
      </c>
    </row>
    <row r="22" ht="34.5" customHeight="1" s="18">
      <c r="A22" s="25" t="inlineStr">
        <is>
          <t>TWAI (CAN)</t>
        </is>
      </c>
      <c r="B22" s="25" t="inlineStr">
        <is>
          <t>ESP-IDF (driver/twai.h; újabb IDF-ben node-alapú API – az adott verzió dokumentációja szerint)</t>
        </is>
      </c>
      <c r="C22" s="25" t="inlineStr">
        <is>
          <t>CAN-busz elérés</t>
        </is>
      </c>
      <c r="D22" s="25" t="inlineStr">
        <is>
          <t>twai_driver_install, twai_start, twai_transmit, twai_receive, twai_read_alerts, twai_initiate_recovery; szűrő: twai_filter_config_t</t>
        </is>
      </c>
      <c r="E22" s="25" t="inlineStr">
        <is>
          <t>OBD, ecu_sim</t>
        </is>
      </c>
      <c r="F22" s="25" t="inlineStr">
        <is>
          <t>S-02, S-21</t>
        </is>
      </c>
    </row>
    <row r="23" ht="23.25" customHeight="1" s="18">
      <c r="A23" s="25" t="inlineStr">
        <is>
          <t>esp_lcd</t>
        </is>
      </c>
      <c r="B23" s="25" t="inlineStr">
        <is>
          <t>ESP-IDF</t>
        </is>
      </c>
      <c r="C23" s="25" t="inlineStr">
        <is>
          <t>Kijelző-busz és panel-absztrakció</t>
        </is>
      </c>
      <c r="D23" s="25" t="inlineStr">
        <is>
          <t>spi_bus_initialize, esp_lcd_new_panel_io_spi (QSPI mód), esp_lcd_panel_reset/init, esp_lcd_panel_draw_bitmap</t>
        </is>
      </c>
      <c r="E23" s="25" t="inlineStr">
        <is>
          <t>Display</t>
        </is>
      </c>
      <c r="F23" s="25" t="inlineStr">
        <is>
          <t>S-05</t>
        </is>
      </c>
    </row>
    <row r="24" ht="23.25" customHeight="1" s="18">
      <c r="A24" s="25" t="inlineStr">
        <is>
          <t>esp_lcd_st77916</t>
        </is>
      </c>
      <c r="B24" s="25" t="inlineStr">
        <is>
          <t>espressif/esp_lcd_st77916 (IDF Component Manager)</t>
        </is>
      </c>
      <c r="C24" s="25" t="inlineStr">
        <is>
          <t>ST77916 panelvezérlő; QSPI konfigurációs makrók</t>
        </is>
      </c>
      <c r="D24" s="25" t="inlineStr">
        <is>
          <t>esp_lcd_new_panel_st77916 + a gyártói (Waveshare) init-parancssorozat vendor_config-ban</t>
        </is>
      </c>
      <c r="E24" s="25" t="inlineStr">
        <is>
          <t>Display</t>
        </is>
      </c>
      <c r="F24" s="25" t="inlineStr">
        <is>
          <t>S-05</t>
        </is>
      </c>
    </row>
    <row r="25" ht="23.25" customHeight="1" s="18">
      <c r="A25" s="25" t="inlineStr">
        <is>
          <t>LVGL</t>
        </is>
      </c>
      <c r="B25" s="25" t="inlineStr">
        <is>
          <t>lvgl/lvgl 9.x (ha az esp_lvgl_port támogatja a kiválasztott verziót)</t>
        </is>
      </c>
      <c r="C25" s="25" t="inlineStr">
        <is>
          <t>Grafikus felület</t>
        </is>
      </c>
      <c r="D25" s="25" t="inlineStr">
        <is>
          <t>lv_scale / lv_arc / lv_label, lv_anim, lv_timer, lv_obj_set_style</t>
        </is>
      </c>
      <c r="E25" s="25" t="inlineStr">
        <is>
          <t>Display</t>
        </is>
      </c>
      <c r="F25" s="25" t="inlineStr">
        <is>
          <t>S-06, S-08</t>
        </is>
      </c>
    </row>
    <row r="26" ht="15" customHeight="1" s="18">
      <c r="A26" s="25" t="inlineStr">
        <is>
          <t>esp_lvgl_port</t>
        </is>
      </c>
      <c r="B26" s="25" t="inlineStr">
        <is>
          <t>espressif/esp_lvgl_port</t>
        </is>
      </c>
      <c r="C26" s="25" t="inlineStr">
        <is>
          <t>LVGL–esp_lcd–érintő összekötés, LVGL szál</t>
        </is>
      </c>
      <c r="D26" s="25" t="inlineStr">
        <is>
          <t>lvgl_port_init, lvgl_port_add_disp, lvgl_port_add_touch, lvgl_port_lock/unlock</t>
        </is>
      </c>
      <c r="E26" s="25" t="inlineStr">
        <is>
          <t>Display</t>
        </is>
      </c>
      <c r="F26" s="25" t="inlineStr">
        <is>
          <t>S-06</t>
        </is>
      </c>
    </row>
    <row r="27" ht="23.25" customHeight="1" s="18">
      <c r="A27" s="25" t="inlineStr">
        <is>
          <t>esp_lcd_touch_cst816s</t>
        </is>
      </c>
      <c r="B27" s="25" t="inlineStr">
        <is>
          <t>espressif/esp_lcd_touch_cst816s</t>
        </is>
      </c>
      <c r="C27" s="25" t="inlineStr">
        <is>
          <t>Érintő (CST816S), I²C</t>
        </is>
      </c>
      <c r="D27" s="25" t="inlineStr">
        <is>
          <t>i2c_new_master_bus, esp_lcd_new_panel_io_i2c, esp_lcd_touch_new_i2c_cst816s</t>
        </is>
      </c>
      <c r="E27" s="25" t="inlineStr">
        <is>
          <t>Display</t>
        </is>
      </c>
      <c r="F27" s="25" t="inlineStr">
        <is>
          <t>S-09</t>
        </is>
      </c>
    </row>
    <row r="28" ht="15" customHeight="1" s="18">
      <c r="A28" s="25" t="inlineStr">
        <is>
          <t>LEDC</t>
        </is>
      </c>
      <c r="B28" s="25" t="inlineStr">
        <is>
          <t>ESP-IDF</t>
        </is>
      </c>
      <c r="C28" s="25" t="inlineStr">
        <is>
          <t>Háttérvilágítás PWM</t>
        </is>
      </c>
      <c r="D28" s="25" t="inlineStr">
        <is>
          <t>ledc_timer_config, ledc_channel_config, ledc_set_duty, ledc_update_duty</t>
        </is>
      </c>
      <c r="E28" s="25" t="inlineStr">
        <is>
          <t>Display</t>
        </is>
      </c>
      <c r="F28" s="25" t="inlineStr">
        <is>
          <t>S-05</t>
        </is>
      </c>
    </row>
    <row r="29" ht="23.25" customHeight="1" s="18">
      <c r="A29" s="25" t="inlineStr">
        <is>
          <t>ADC oneshot</t>
        </is>
      </c>
      <c r="B29" s="25" t="inlineStr">
        <is>
          <t>ESP-IDF</t>
        </is>
      </c>
      <c r="C29" s="25" t="inlineStr">
        <is>
          <t>Akkumulátor-feszültség</t>
        </is>
      </c>
      <c r="D29" s="25" t="inlineStr">
        <is>
          <t>adc_oneshot_new_unit, adc_oneshot_config_channel, adc_cali_create_scheme_*</t>
        </is>
      </c>
      <c r="E29" s="25" t="inlineStr">
        <is>
          <t>Display</t>
        </is>
      </c>
      <c r="F29" s="25" t="inlineStr">
        <is>
          <t>S-11</t>
        </is>
      </c>
    </row>
    <row r="30" ht="23.25" customHeight="1" s="18">
      <c r="A30" s="25" t="inlineStr">
        <is>
          <t>Energiagazdálkodás</t>
        </is>
      </c>
      <c r="B30" s="25" t="inlineStr">
        <is>
          <t>ESP-IDF</t>
        </is>
      </c>
      <c r="C30" s="25" t="inlineStr">
        <is>
          <t>Light sleep, ébresztés</t>
        </is>
      </c>
      <c r="D30" s="25" t="inlineStr">
        <is>
          <t>esp_sleep_enable_timer_wakeup, esp_sleep_enable_gpio_wakeup, esp_light_sleep_start</t>
        </is>
      </c>
      <c r="E30" s="25" t="inlineStr">
        <is>
          <t>OBD, Display</t>
        </is>
      </c>
      <c r="F30" s="25" t="inlineStr">
        <is>
          <t>S-12</t>
        </is>
      </c>
    </row>
    <row r="31" ht="15" customHeight="1" s="18">
      <c r="A31" s="25" t="inlineStr">
        <is>
          <t>NimBLE</t>
        </is>
      </c>
      <c r="B31" s="25" t="inlineStr">
        <is>
          <t>ESP-IDF (esp_nimble)</t>
        </is>
      </c>
      <c r="C31" s="25" t="inlineStr">
        <is>
          <t>BLE (P2/P3, később)</t>
        </is>
      </c>
      <c r="D31" s="25" t="inlineStr">
        <is>
          <t>ble_gap_adv_start, ble_gap_disc, GATT kliens</t>
        </is>
      </c>
      <c r="E31" s="25" t="inlineStr">
        <is>
          <t>mindkettő</t>
        </is>
      </c>
      <c r="F31" s="25" t="inlineStr">
        <is>
          <t>S-13…S-15</t>
        </is>
      </c>
    </row>
    <row r="32" ht="15" customHeight="1" s="18">
      <c r="A32" s="25" t="inlineStr">
        <is>
          <t>Unity</t>
        </is>
      </c>
      <c r="B32" s="25" t="inlineStr">
        <is>
          <t>ESP-IDF / önálló</t>
        </is>
      </c>
      <c r="C32" s="25" t="inlineStr">
        <is>
          <t>Egységtesztek (PC-n és célhardveren)</t>
        </is>
      </c>
      <c r="D32" s="25" t="inlineStr">
        <is>
          <t>TEST_ASSERT_EQUAL_*</t>
        </is>
      </c>
      <c r="E32" s="25" t="inlineStr">
        <is>
          <t>tools/host_test</t>
        </is>
      </c>
      <c r="F32" s="25" t="n"/>
    </row>
    <row r="34" ht="15" customHeight="1" s="18">
      <c r="A34" s="32" t="inlineStr">
        <is>
          <t>3. Komponensek, fájlok és függvények</t>
        </is>
      </c>
    </row>
    <row r="35" ht="30" customHeight="1" s="18">
      <c r="A35" s="33" t="inlineStr">
        <is>
          <t>Elv: a tiszta logika (kódolás, PID-dekódolás, ISO-TP, simítás) hardverfüggetlen osztály, a hardvert interfész mögé tesszük (pl. ICanBus). Így PC-n tesztelhető, és ugyanaz a kód fut az S2-n (szimulátor) és a C3-on.</t>
        </is>
      </c>
    </row>
    <row r="36" ht="15" customHeight="1" s="18">
      <c r="A36" s="24" t="inlineStr">
        <is>
          <t>Komponens</t>
        </is>
      </c>
      <c r="B36" s="24" t="inlineStr">
        <is>
          <t>Fájl</t>
        </is>
      </c>
      <c r="C36" s="24" t="inlineStr">
        <is>
          <t>Függvény / osztály</t>
        </is>
      </c>
      <c r="D36" s="24" t="inlineStr">
        <is>
          <t>Feladat</t>
        </is>
      </c>
      <c r="E36" s="24" t="inlineStr">
        <is>
          <t>API / megjegyzés</t>
        </is>
      </c>
      <c r="F36" s="24" t="inlineStr">
        <is>
          <t>S</t>
        </is>
      </c>
    </row>
    <row r="37" ht="15.75" customHeight="1" s="18">
      <c r="A37" s="34" t="inlineStr">
        <is>
          <t>KÖZÖS: og_protocol</t>
        </is>
      </c>
      <c r="B37" s="35" t="n"/>
      <c r="C37" s="35" t="n"/>
      <c r="D37" s="35" t="n"/>
      <c r="E37" s="35" t="n"/>
      <c r="F37" s="36" t="n"/>
    </row>
    <row r="38" ht="45.75" customHeight="1" s="18">
      <c r="A38" s="25" t="inlineStr">
        <is>
          <t>og_protocol</t>
        </is>
      </c>
      <c r="B38" s="25" t="inlineStr">
        <is>
          <t>include/og_protocol.h</t>
        </is>
      </c>
      <c r="C38" s="25" t="inlineStr">
        <is>
          <t>OG_PROTO_VERSION; enum class MsgType; struct Header; struct TelemetryMsg / VinMsg / ReadyMsg / HeartbeatMsg / RequestMsg / SleepMsg</t>
        </is>
      </c>
      <c r="D38" s="25" t="inlineStr">
        <is>
          <t>Az üzenetek bináris formátuma (packed, little-endian). static_assert a méretekre (≤ 250 B, az ESP-NOW korlát).</t>
        </is>
      </c>
      <c r="E38" s="25" t="inlineStr">
        <is>
          <t>Mezők: lásd 5. fejezet</t>
        </is>
      </c>
      <c r="F38" s="25" t="inlineStr">
        <is>
          <t>S-01, S-20</t>
        </is>
      </c>
    </row>
    <row r="39" ht="34.5" customHeight="1" s="18">
      <c r="A39" s="25" t="inlineStr">
        <is>
          <t>og_protocol</t>
        </is>
      </c>
      <c r="B39" s="25" t="inlineStr">
        <is>
          <t>include/og_codec.h, src/og_codec.cpp</t>
        </is>
      </c>
      <c r="C39" s="25" t="inlineStr">
        <is>
          <t>og_encode(const Msg&amp;, uint8_t* buf, size_t cap) → size_t; og_decode_header(const uint8_t*, size_t, Header&amp;) → bool; og_decode_telemetry(...)</t>
        </is>
      </c>
      <c r="D39" s="25" t="inlineStr">
        <is>
          <t>Szerializálás/deszerializálás, hosszellenőrzés, verzióellenőrzés (ismeretlen verzió eldobása).</t>
        </is>
      </c>
      <c r="E39" s="25" t="inlineStr">
        <is>
          <t>memcpy; nincs hardverfüggés</t>
        </is>
      </c>
      <c r="F39" s="25" t="inlineStr">
        <is>
          <t>S-01</t>
        </is>
      </c>
    </row>
    <row r="40" ht="23.25" customHeight="1" s="18">
      <c r="A40" s="25" t="inlineStr">
        <is>
          <t>og_protocol</t>
        </is>
      </c>
      <c r="B40" s="25" t="inlineStr">
        <is>
          <t>include/og_seq.h</t>
        </is>
      </c>
      <c r="C40" s="25" t="inlineStr">
        <is>
          <t>og_seq_gap(uint16_t prev, uint16_t cur) → uint16_t</t>
        </is>
      </c>
      <c r="D40" s="25" t="inlineStr">
        <is>
          <t>Elveszett csomagok száma a 16 bites sorszám átfordulásával: (cur − prev − 1) mod 65536.</t>
        </is>
      </c>
      <c r="E40" s="25" t="n"/>
      <c r="F40" s="25" t="inlineStr">
        <is>
          <t>S-07</t>
        </is>
      </c>
    </row>
    <row r="41" ht="15.75" customHeight="1" s="18">
      <c r="A41" s="34" t="inlineStr">
        <is>
          <t>KÖZÖS: og_obd</t>
        </is>
      </c>
      <c r="B41" s="35" t="n"/>
      <c r="C41" s="35" t="n"/>
      <c r="D41" s="35" t="n"/>
      <c r="E41" s="35" t="n"/>
      <c r="F41" s="36" t="n"/>
    </row>
    <row r="42" ht="34.5" customHeight="1" s="18">
      <c r="A42" s="25" t="inlineStr">
        <is>
          <t>og_obd</t>
        </is>
      </c>
      <c r="B42" s="25" t="inlineStr">
        <is>
          <t>include/can_iface.h</t>
        </is>
      </c>
      <c r="C42" s="25" t="inlineStr">
        <is>
          <t>struct CanFrame {id, ext, dlc, data[8]}; class ICanBus { send(frame, timeout_ms); recv(frame, timeout_ms); }</t>
        </is>
      </c>
      <c r="D42" s="25" t="inlineStr">
        <is>
          <t>Hardverfüggetlen CAN-interfész. Megvalósítása: TwaiBus (OBD, ecu_sim), tesztben FakeBus.</t>
        </is>
      </c>
      <c r="E42" s="25" t="n"/>
      <c r="F42" s="25" t="inlineStr">
        <is>
          <t>S-02</t>
        </is>
      </c>
    </row>
    <row r="43" ht="34.5" customHeight="1" s="18">
      <c r="A43" s="25" t="inlineStr">
        <is>
          <t>og_obd</t>
        </is>
      </c>
      <c r="B43" s="25" t="inlineStr">
        <is>
          <t>include/pid_table.h, src/pid_table.cpp</t>
        </is>
      </c>
      <c r="C43" s="25" t="inlineStr">
        <is>
          <t>pid_find(pid) → const PidInfo*; pid_decode(pid, data, len, PidValue&amp;) → bool; pid_encode(pid, PidValue, data) → len</t>
        </is>
      </c>
      <c r="D43" s="25" t="inlineStr">
        <is>
          <t>PID-leírások (név, adatbájtok száma) és átváltások; az encode az ECU-szimulátornak kell.</t>
        </is>
      </c>
      <c r="E43" s="25" t="inlineStr">
        <is>
          <t>Képletek: 6. fejezet</t>
        </is>
      </c>
      <c r="F43" s="25" t="inlineStr">
        <is>
          <t>S-03, S-21</t>
        </is>
      </c>
    </row>
    <row r="44" ht="34.5" customHeight="1" s="18">
      <c r="A44" s="25" t="inlineStr">
        <is>
          <t>og_obd</t>
        </is>
      </c>
      <c r="B44" s="25" t="inlineStr">
        <is>
          <t>include/isotp.h, src/isotp.cpp</t>
        </is>
      </c>
      <c r="C44" s="25" t="inlineStr">
        <is>
          <t>class IsoTp { IsoTp(ICanBus&amp;, tx_id, rx_id); request(req, req_len, resp, resp_cap, resp_len, timeout_ms) → og_err_t; }</t>
        </is>
      </c>
      <c r="D44" s="25" t="inlineStr">
        <is>
          <t>ISO 15765-2: egy- és többkeretes (SF/FF/CF), flow control (FC: CTS, BS, STmin), időtúllépések. Hosszú válasz: VIN, DTC-lista.</t>
        </is>
      </c>
      <c r="E44" s="25" t="inlineStr">
        <is>
          <t>VIN: 20 B → FF + 2 CF</t>
        </is>
      </c>
      <c r="F44" s="25" t="inlineStr">
        <is>
          <t>S-16, S-18</t>
        </is>
      </c>
    </row>
    <row r="45" ht="45.75" customHeight="1" s="18">
      <c r="A45" s="25" t="inlineStr">
        <is>
          <t>og_obd</t>
        </is>
      </c>
      <c r="B45" s="25" t="inlineStr">
        <is>
          <t>include/obd_services.h</t>
        </is>
      </c>
      <c r="C45" s="25" t="inlineStr">
        <is>
          <t>obd_mode01_request(pid, buf); obd_parse_mode01(resp, len, pid, PidValue&amp;); obd_parse_dtc_count(...); obd_parse_vin(resp, len, char[18])</t>
        </is>
      </c>
      <c r="D45" s="25" t="inlineStr">
        <is>
          <t>Szolgáltatás-szintű kérés/válasz építés és -ellenőrzés (pozitív válasz = 0x40 + mód; negatív válasz 0x7F).</t>
        </is>
      </c>
      <c r="E45" s="25" t="n"/>
      <c r="F45" s="25" t="inlineStr">
        <is>
          <t>S-02, S-16, S-18</t>
        </is>
      </c>
    </row>
    <row r="46" ht="15.75" customHeight="1" s="18">
      <c r="A46" s="34" t="inlineStr">
        <is>
          <t>OBD-EGYSÉG (obd_node)</t>
        </is>
      </c>
      <c r="B46" s="35" t="n"/>
      <c r="C46" s="35" t="n"/>
      <c r="D46" s="35" t="n"/>
      <c r="E46" s="35" t="n"/>
      <c r="F46" s="36" t="n"/>
    </row>
    <row r="47" ht="34.5" customHeight="1" s="18">
      <c r="A47" s="25" t="inlineStr">
        <is>
          <t>board</t>
        </is>
      </c>
      <c r="B47" s="25" t="inlineStr">
        <is>
          <t>include/board_pins.h; Kconfig: BOARD_SUPERMINI / BOARD_CUSTOM_V1</t>
        </is>
      </c>
      <c r="C47" s="25" t="inlineStr">
        <is>
          <t>OBD_PIN_TWAI_TX, OBD_PIN_TWAI_RX, OBD_PIN_LED ...</t>
        </is>
      </c>
      <c r="D47" s="25" t="inlineStr">
        <is>
          <t>Lábkiosztás hardverváltozatonként (a C3 SuperMini asztali próbához, az egyedi panel a végleges).</t>
        </is>
      </c>
      <c r="E47" s="25" t="inlineStr">
        <is>
          <t>Egyedi panel: a GPIO-k a kapcsolási rajzból</t>
        </is>
      </c>
      <c r="F47" s="25" t="inlineStr">
        <is>
          <t>S-02</t>
        </is>
      </c>
    </row>
    <row r="48" ht="23.25" customHeight="1" s="18">
      <c r="A48" s="25" t="inlineStr">
        <is>
          <t>obd_can</t>
        </is>
      </c>
      <c r="B48" s="25" t="inlineStr">
        <is>
          <t>include/twai_bus.h, src/twai_bus.cpp</t>
        </is>
      </c>
      <c r="C48" s="25" t="inlineStr">
        <is>
          <t>class TwaiBus : ICanBus { begin(bitrate, mode, ext); set_filter_obd(ext); end(); state(); }</t>
        </is>
      </c>
      <c r="D48" s="25" t="inlineStr">
        <is>
          <t>A TWAI-driver burkolója: 250/500 kbit/s, normál vagy listen-only mód, hardveres szűrő a 0x7E8…0x7EF válaszokra, bus-off helyreállítás.</t>
        </is>
      </c>
      <c r="E48" s="25" t="inlineStr">
        <is>
          <t>Szűrő: 6. fejezet</t>
        </is>
      </c>
      <c r="F48" s="25" t="inlineStr">
        <is>
          <t>S-02</t>
        </is>
      </c>
    </row>
    <row r="49" ht="34.5" customHeight="1" s="18">
      <c r="A49" s="25" t="inlineStr">
        <is>
          <t>obd_detect</t>
        </is>
      </c>
      <c r="B49" s="25" t="inlineStr">
        <is>
          <t>include/obd_detect.h, src/obd_detect.cpp</t>
        </is>
      </c>
      <c r="C49" s="25" t="inlineStr">
        <is>
          <t>detect_protocol(TwaiBus&amp;, ProtocolInfo&amp;) → og_err_t</t>
        </is>
      </c>
      <c r="D49" s="25" t="inlineStr">
        <is>
          <t>Protokoll-keresés: listen-only hallgatás 500, majd 250 kbit/s sebességen; ha érvényes keret van, 01 00 kérés (0x7DF) és a támogatott PID-bitmap (01 00/20/40) eltárolása; 11 bites, majd 29 bites azonosítók. Ha a 01 00-ra nincs válasz: 22 F8 10 kérés; pozitív válasz = UDS-alapú (OBDonUDS) jármű, nem támogatott protokoll jelzése (SAE J1979-2, 4. ábra).</t>
        </is>
      </c>
      <c r="E49" s="25" t="inlineStr">
        <is>
          <t>Csak „gyújtás be” állapotban értelmezhető (csendes buszon nincs eredmény)</t>
        </is>
      </c>
      <c r="F49" s="25" t="inlineStr">
        <is>
          <t>S-02</t>
        </is>
      </c>
    </row>
    <row r="50" ht="34.5" customHeight="1" s="18">
      <c r="A50" s="25" t="inlineStr">
        <is>
          <t>obd_scheduler</t>
        </is>
      </c>
      <c r="B50" s="25" t="inlineStr">
        <is>
          <t>include/pid_scheduler.h, src/pid_scheduler.cpp</t>
        </is>
      </c>
      <c r="C50" s="25" t="inlineStr">
        <is>
          <t>class PidScheduler { add(pid, period_ms); next_due(now_ms) → pid; on_result(pid, ok); } ; poll_task(void*)</t>
        </is>
      </c>
      <c r="D50" s="25" t="inlineStr">
        <is>
          <t>A PID-terv (Szoftver lap) végrehajtása: a legrégebben esedékes PID kérése, a következő kérés azonnal a válasz után (nem fix várakozással); nem támogatott PID kihagyása; időtúllépés-számláló; kész mintából TelemetryMsg építése.</t>
        </is>
      </c>
      <c r="E50" s="25" t="inlineStr">
        <is>
          <t>Bottleneck az ECU válaszideje, nem a busz (6. fejezet)</t>
        </is>
      </c>
      <c r="F50" s="25" t="inlineStr">
        <is>
          <t>S-03</t>
        </is>
      </c>
    </row>
    <row r="51" ht="34.5" customHeight="1" s="18">
      <c r="A51" s="25" t="inlineStr">
        <is>
          <t>obd_link</t>
        </is>
      </c>
      <c r="B51" s="25" t="inlineStr">
        <is>
          <t>include/obd_link.h, src/obd_link.cpp</t>
        </is>
      </c>
      <c r="C51" s="25" t="inlineStr">
        <is>
          <t>link_init(channel); link_send_telemetry(const TelemetryMsg&amp;); on_recv(mac, data, len)</t>
        </is>
      </c>
      <c r="D51" s="25" t="inlineStr">
        <is>
          <t>ESP-NOW küldés/fogadás: a kijelző MAC-címének megjegyzése (NVS) a READY üzenet alapján, HEARTBEAT figyelése, REQUEST továbbadása a feladatnak.</t>
        </is>
      </c>
      <c r="E51" s="25" t="inlineStr">
        <is>
          <t>Fix csatorna Kconfig-ból; a callback csak sorba tesz</t>
        </is>
      </c>
      <c r="F51" s="25" t="inlineStr">
        <is>
          <t>S-04, S-20</t>
        </is>
      </c>
    </row>
    <row r="52" ht="23.25" customHeight="1" s="18">
      <c r="A52" s="25" t="inlineStr">
        <is>
          <t>obd_power</t>
        </is>
      </c>
      <c r="B52" s="25" t="inlineStr">
        <is>
          <t>include/obd_power.h, src/obd_power.cpp</t>
        </is>
      </c>
      <c r="C52" s="25" t="inlineStr">
        <is>
          <t>class PowerFsm { ACTIVE, STANDBY, ... }; on_key_on(); on_bus_idle(); on_display_ready()</t>
        </is>
      </c>
      <c r="D52" s="25" t="inlineStr">
        <is>
          <t>Light sleep és időzített buszfigyelés, ébredés gyújtásra / kijelző-jelre.</t>
        </is>
      </c>
      <c r="E52" s="25" t="inlineStr">
        <is>
          <t>P2; mérésekkel finomítandó (H-11, V-12)</t>
        </is>
      </c>
      <c r="F52" s="25" t="inlineStr">
        <is>
          <t>S-12</t>
        </is>
      </c>
    </row>
    <row r="53" ht="15" customHeight="1" s="18">
      <c r="A53" s="25" t="inlineStr">
        <is>
          <t>main</t>
        </is>
      </c>
      <c r="B53" s="25" t="inlineStr">
        <is>
          <t>main/app_main.cpp</t>
        </is>
      </c>
      <c r="C53" s="25" t="inlineStr">
        <is>
          <t>app_main()</t>
        </is>
      </c>
      <c r="D53" s="25" t="inlineStr">
        <is>
          <t>NVS, link, CAN, protokoll-keresés, feladatok indítása.</t>
        </is>
      </c>
      <c r="E53" s="25" t="n"/>
      <c r="F53" s="25" t="inlineStr">
        <is>
          <t>–</t>
        </is>
      </c>
    </row>
    <row r="54" ht="15.75" customHeight="1" s="18">
      <c r="A54" s="34" t="inlineStr">
        <is>
          <t>KIJELZŐEGYSÉG (display_node)</t>
        </is>
      </c>
      <c r="B54" s="35" t="n"/>
      <c r="C54" s="35" t="n"/>
      <c r="D54" s="35" t="n"/>
      <c r="E54" s="35" t="n"/>
      <c r="F54" s="36" t="n"/>
    </row>
    <row r="55" ht="34.5" customHeight="1" s="18">
      <c r="A55" s="25" t="inlineStr">
        <is>
          <t>board</t>
        </is>
      </c>
      <c r="B55" s="25" t="inlineStr">
        <is>
          <t>include/board_pins.h; Kconfig: BOARD_WAVESHARE_DEVKIT / BOARD_CUSTOM_V1</t>
        </is>
      </c>
      <c r="C55" s="25" t="inlineStr">
        <is>
          <t>DISP_PIN_QSPI_D0..D3, _CLK, _CS, _TE, _RST, _BL, TP_SDA, TP_SCL, TP_RST, TP_INT</t>
        </is>
      </c>
      <c r="D55" s="25" t="inlineStr">
        <is>
          <t>Lábkiosztás hardverváltozatonként; a devkites változat a Waveshare-példa kiosztása (lásd a 4.1. szakaszt).</t>
        </is>
      </c>
      <c r="E55" s="25" t="inlineStr">
        <is>
          <t>Az IO7 a devkiten LCD_IO2, ezért a custom panel akkumulátor-ADC lába ott nem használható → S-11 csak a custom panelen</t>
        </is>
      </c>
      <c r="F55" s="25" t="inlineStr">
        <is>
          <t>S-05, S-11</t>
        </is>
      </c>
    </row>
    <row r="56" ht="34.5" customHeight="1" s="18">
      <c r="A56" s="25" t="inlineStr">
        <is>
          <t>disp_panel</t>
        </is>
      </c>
      <c r="B56" s="25" t="inlineStr">
        <is>
          <t>include/disp_panel.h, src/disp_panel.cpp</t>
        </is>
      </c>
      <c r="C56" s="25" t="inlineStr">
        <is>
          <t>panel_init() → esp_lcd_panel_handle_t; panel_backlight_set(uint8_t percent); panel_selftest()</t>
        </is>
      </c>
      <c r="D56" s="25" t="inlineStr">
        <is>
          <t>QSPI busz, ST77916 init (gyártói parancssor), tükrözés/forgatás beállítás, LEDC háttérvilágítás, színsáv-önteszt.</t>
        </is>
      </c>
      <c r="E56" s="25" t="inlineStr">
        <is>
          <t>Induló órajel 40 MHz</t>
        </is>
      </c>
      <c r="F56" s="25" t="inlineStr">
        <is>
          <t>S-05</t>
        </is>
      </c>
    </row>
    <row r="57" ht="34.5" customHeight="1" s="18">
      <c r="A57" s="25" t="inlineStr">
        <is>
          <t>disp_ui</t>
        </is>
      </c>
      <c r="B57" s="25" t="inlineStr">
        <is>
          <t>include/disp_ui.h, src/disp_ui.cpp</t>
        </is>
      </c>
      <c r="C57" s="25" t="inlineStr">
        <is>
          <t>ui_init(); ui_set_telemetry(const UiData&amp;); ui_show_stale(bool); ui_switch_screen(Screen)</t>
        </is>
      </c>
      <c r="D57" s="25" t="inlineStr">
        <is>
          <t>LVGL-képernyők: műszerfal (RPM mutató, sebesség, MIL-jelző, hűtővíz), másodlagos nézet; „NINCS ADAT” fedőréteg. Minden LVGL-hívás lvgl_port_lock alatt.</t>
        </is>
      </c>
      <c r="E57" s="25" t="inlineStr">
        <is>
          <t>lv_scale, lv_anim</t>
        </is>
      </c>
      <c r="F57" s="25" t="inlineStr">
        <is>
          <t>S-06, S-08, S-10</t>
        </is>
      </c>
    </row>
    <row r="58" ht="23.25" customHeight="1" s="18">
      <c r="A58" s="25" t="inlineStr">
        <is>
          <t>disp_ui</t>
        </is>
      </c>
      <c r="B58" s="25" t="inlineStr">
        <is>
          <t>src/lvgl_setup.cpp</t>
        </is>
      </c>
      <c r="C58" s="25" t="inlineStr">
        <is>
          <t>lvgl_setup(panel) → lv_display_t*</t>
        </is>
      </c>
      <c r="D58" s="25" t="inlineStr">
        <is>
          <t>esp_lvgl_port inicializálás: 2 db részleges puffer belső DMA-képes SRAM-ban, TE jel.</t>
        </is>
      </c>
      <c r="E58" s="25" t="inlineStr">
        <is>
          <t>Puffer: 6. fejezet</t>
        </is>
      </c>
      <c r="F58" s="25" t="inlineStr">
        <is>
          <t>S-06</t>
        </is>
      </c>
    </row>
    <row r="59" ht="34.5" customHeight="1" s="18">
      <c r="A59" s="25" t="inlineStr">
        <is>
          <t>disp_smooth</t>
        </is>
      </c>
      <c r="B59" s="25" t="inlineStr">
        <is>
          <t>include/smoother.h</t>
        </is>
      </c>
      <c r="C59" s="25" t="inlineStr">
        <is>
          <t>class Smoother { configure(period_ms); push(value, t_ms); value(t_ms) → float; }</t>
        </is>
      </c>
      <c r="D59" s="25" t="inlineStr">
        <is>
          <t>A 10 Hz-es minták közti folyamatos mozgás: lineáris átmenet az előző értékről az újra egy mintaperiódus alatt (vagy LVGL-animáció ugyanezzel az idővel). Tiszta logika.</t>
        </is>
      </c>
      <c r="E59" s="25" t="inlineStr">
        <is>
          <t>Kompromisszum: legfeljebb 1 minta késés</t>
        </is>
      </c>
      <c r="F59" s="25" t="inlineStr">
        <is>
          <t>S-07, S-08</t>
        </is>
      </c>
    </row>
    <row r="60" ht="34.5" customHeight="1" s="18">
      <c r="A60" s="25" t="inlineStr">
        <is>
          <t>disp_link</t>
        </is>
      </c>
      <c r="B60" s="25" t="inlineStr">
        <is>
          <t>include/disp_link.h, src/disp_link.cpp</t>
        </is>
      </c>
      <c r="C60" s="25" t="inlineStr">
        <is>
          <t>link_init(channel); on_recv(mac, data, len) [csak queue-ba]; link_task(void*); send_ready(); send_heartbeat()</t>
        </is>
      </c>
      <c r="D60" s="25" t="inlineStr">
        <is>
          <t>ESP-NOW vétel: a callback a nyers csomagot sorba teszi; a feladat dekódol, sorszámot ellenőriz, UiData-t frissít, „elavult adat” jelzést ad, READY/HEARTBEAT küldése.</t>
        </is>
      </c>
      <c r="E60" s="25" t="inlineStr">
        <is>
          <t>Elavulás: 6. fejezet</t>
        </is>
      </c>
      <c r="F60" s="25" t="inlineStr">
        <is>
          <t>S-07, S-20</t>
        </is>
      </c>
    </row>
    <row r="61" ht="23.25" customHeight="1" s="18">
      <c r="A61" s="25" t="inlineStr">
        <is>
          <t>disp_touch</t>
        </is>
      </c>
      <c r="B61" s="25" t="inlineStr">
        <is>
          <t>include/disp_touch.h, src/disp_touch.cpp</t>
        </is>
      </c>
      <c r="C61" s="25" t="inlineStr">
        <is>
          <t>touch_init(); touch_on_swipe(cb)</t>
        </is>
      </c>
      <c r="D61" s="25" t="inlineStr">
        <is>
          <t>CST816S: reset-impulzus, I²C 100 kHz, kézmozdulat → képernyőváltás.</t>
        </is>
      </c>
      <c r="E61" s="25" t="inlineStr">
        <is>
          <t>Alvásmód letiltása a vezérlőn</t>
        </is>
      </c>
      <c r="F61" s="25" t="inlineStr">
        <is>
          <t>S-09</t>
        </is>
      </c>
    </row>
    <row r="62" ht="23.25" customHeight="1" s="18">
      <c r="A62" s="25" t="inlineStr">
        <is>
          <t>disp_battery</t>
        </is>
      </c>
      <c r="B62" s="25" t="inlineStr">
        <is>
          <t>include/disp_battery.h, src/disp_battery.cpp</t>
        </is>
      </c>
      <c r="C62" s="25" t="inlineStr">
        <is>
          <t>battery_read_mv(); battery_percent()</t>
        </is>
      </c>
      <c r="D62" s="25" t="inlineStr">
        <is>
          <t>ADC mérés osztón át, kalibrált érték, töltöttség %.</t>
        </is>
      </c>
      <c r="E62" s="25" t="inlineStr">
        <is>
          <t>Csak custom panelen; töltés közben pontatlan</t>
        </is>
      </c>
      <c r="F62" s="25" t="inlineStr">
        <is>
          <t>S-11</t>
        </is>
      </c>
    </row>
    <row r="63" ht="23.25" customHeight="1" s="18">
      <c r="A63" s="25" t="inlineStr">
        <is>
          <t>disp_power</t>
        </is>
      </c>
      <c r="B63" s="25" t="inlineStr">
        <is>
          <t>include/disp_power.h, src/disp_power.cpp</t>
        </is>
      </c>
      <c r="C63" s="25" t="inlineStr">
        <is>
          <t>class DispPowerFsm</t>
        </is>
      </c>
      <c r="D63" s="25" t="inlineStr">
        <is>
          <t>Kijelző alvás/ébresztés, BLE-váltás (P2/P3).</t>
        </is>
      </c>
      <c r="E63" s="25" t="inlineStr">
        <is>
          <t>P2</t>
        </is>
      </c>
      <c r="F63" s="25" t="inlineStr">
        <is>
          <t>S-12, S-13</t>
        </is>
      </c>
    </row>
    <row r="64" ht="15" customHeight="1" s="18">
      <c r="A64" s="25" t="inlineStr">
        <is>
          <t>main</t>
        </is>
      </c>
      <c r="B64" s="25" t="inlineStr">
        <is>
          <t>main/app_main.cpp</t>
        </is>
      </c>
      <c r="C64" s="25" t="inlineStr">
        <is>
          <t>app_main()</t>
        </is>
      </c>
      <c r="D64" s="25" t="inlineStr">
        <is>
          <t>NVS, panel, LVGL, UI, link indítása; feladatok.</t>
        </is>
      </c>
      <c r="E64" s="25" t="n"/>
      <c r="F64" s="25" t="inlineStr">
        <is>
          <t>–</t>
        </is>
      </c>
    </row>
    <row r="65" ht="15.75" customHeight="1" s="18">
      <c r="A65" s="34" t="inlineStr">
        <is>
          <t>ESZKÖZ: tools/ecu_sim (ESP32-S2)</t>
        </is>
      </c>
      <c r="B65" s="35" t="n"/>
      <c r="C65" s="35" t="n"/>
      <c r="D65" s="35" t="n"/>
      <c r="E65" s="35" t="n"/>
      <c r="F65" s="36" t="n"/>
    </row>
    <row r="66" ht="34.5" customHeight="1" s="18">
      <c r="A66" s="25" t="inlineStr">
        <is>
          <t>ecu_sim</t>
        </is>
      </c>
      <c r="B66" s="25" t="inlineStr">
        <is>
          <t>main/mode_telemetry.cpp</t>
        </is>
      </c>
      <c r="C66" s="25" t="inlineStr">
        <is>
          <t>run_telemetry_generator()</t>
        </is>
      </c>
      <c r="D66" s="25" t="inlineStr">
        <is>
          <t>CAN nélküli üzemmód: szintetikus TelemetryMsg (RPM szinusz + lépcső, sebesség, hűtővíz lassú rámpa, MIL kapcsolás) 10 Hz-en ESP-NOW-n. Az S-07/S-08 fejlesztéséhez, az OBD-egység nélkül.</t>
        </is>
      </c>
      <c r="E66" s="25" t="inlineStr">
        <is>
          <t>og_protocol + esp_now</t>
        </is>
      </c>
      <c r="F66" s="25" t="inlineStr">
        <is>
          <t>S-22</t>
        </is>
      </c>
    </row>
    <row r="67" ht="34.5" customHeight="1" s="18">
      <c r="A67" s="25" t="inlineStr">
        <is>
          <t>ecu_sim</t>
        </is>
      </c>
      <c r="B67" s="25" t="inlineStr">
        <is>
          <t>main/mode_ecu.cpp</t>
        </is>
      </c>
      <c r="C67" s="25" t="inlineStr">
        <is>
          <t>run_ecu_simulator()</t>
        </is>
      </c>
      <c r="D67" s="25" t="inlineStr">
        <is>
          <t>CAN-üzemmód: a 0x7DF/0x7E0 kérésekre pid_encode alapú válasz 0x7E8-ról; VIN (többkeretes) és hibakód-válasz; beállítható késleltetés (a valós ECU-válaszidő utánzására).</t>
        </is>
      </c>
      <c r="E67" s="25" t="inlineStr">
        <is>
          <t>TwaiBus + og_obd</t>
        </is>
      </c>
      <c r="F67" s="25" t="inlineStr">
        <is>
          <t>S-21</t>
        </is>
      </c>
    </row>
    <row r="69" ht="15" customHeight="1" s="18">
      <c r="A69" s="32" t="inlineStr">
        <is>
          <t>4. FreeRTOS-feladatok és sorok (kezdőértékek, a stack- és prioritásértékek mérendők)</t>
        </is>
      </c>
    </row>
    <row r="70" ht="23.25" customHeight="1" s="18">
      <c r="A70" s="24" t="inlineStr">
        <is>
          <t>Egység</t>
        </is>
      </c>
      <c r="B70" s="24" t="inlineStr">
        <is>
          <t>Feladat</t>
        </is>
      </c>
      <c r="C70" s="24" t="inlineStr">
        <is>
          <t>Prioritás / mag</t>
        </is>
      </c>
      <c r="D70" s="24" t="inlineStr">
        <is>
          <t>Stack (induló)</t>
        </is>
      </c>
      <c r="E70" s="24" t="inlineStr">
        <is>
          <t>Ütem / ébresztés</t>
        </is>
      </c>
      <c r="F70" s="24" t="inlineStr">
        <is>
          <t>Kommunikáció</t>
        </is>
      </c>
    </row>
    <row r="71" ht="79.5" customHeight="1" s="18">
      <c r="A71" s="25" t="inlineStr">
        <is>
          <t>OBD</t>
        </is>
      </c>
      <c r="B71" s="25" t="inlineStr">
        <is>
          <t>poll_task (obd_scheduler)</t>
        </is>
      </c>
      <c r="C71" s="25" t="inlineStr">
        <is>
          <t>5</t>
        </is>
      </c>
      <c r="D71" s="25" t="inlineStr">
        <is>
          <t>4 KB</t>
        </is>
      </c>
      <c r="E71" s="25" t="inlineStr">
        <is>
          <t>folyamatos: kérés → válasz → következő kérés</t>
        </is>
      </c>
      <c r="F71" s="25" t="inlineStr">
        <is>
          <t>mailbox (xQueueOverwrite, 1 elem) → link_task: mindig a legfrissebb minta megy ki</t>
        </is>
      </c>
    </row>
    <row r="72" ht="57" customHeight="1" s="18">
      <c r="A72" s="25" t="inlineStr">
        <is>
          <t>OBD</t>
        </is>
      </c>
      <c r="B72" s="25" t="inlineStr">
        <is>
          <t>link_task (obd_link)</t>
        </is>
      </c>
      <c r="C72" s="25" t="inlineStr">
        <is>
          <t>4</t>
        </is>
      </c>
      <c r="D72" s="25" t="inlineStr">
        <is>
          <t>3 KB</t>
        </is>
      </c>
      <c r="E72" s="25" t="inlineStr">
        <is>
          <t>új minta vagy 100 ms</t>
        </is>
      </c>
      <c r="F72" s="25" t="inlineStr">
        <is>
          <t>ESP-NOW; bejövő üzenetek külön sorban (len 4)</t>
        </is>
      </c>
    </row>
    <row r="73" ht="57" customHeight="1" s="18">
      <c r="A73" s="25" t="inlineStr">
        <is>
          <t>OBD</t>
        </is>
      </c>
      <c r="B73" s="25" t="inlineStr">
        <is>
          <t>alert_task (TWAI)</t>
        </is>
      </c>
      <c r="C73" s="25" t="inlineStr">
        <is>
          <t>6</t>
        </is>
      </c>
      <c r="D73" s="25" t="inlineStr">
        <is>
          <t>2 KB</t>
        </is>
      </c>
      <c r="E73" s="25" t="inlineStr">
        <is>
          <t>twai_read_alerts (blokkoló)</t>
        </is>
      </c>
      <c r="F73" s="25" t="inlineStr">
        <is>
          <t>bus-off / hiba esetén helyreállítás kezdeményezése</t>
        </is>
      </c>
    </row>
    <row r="74" ht="23.25" customHeight="1" s="18">
      <c r="A74" s="25" t="inlineStr">
        <is>
          <t>OBD</t>
        </is>
      </c>
      <c r="B74" s="25" t="inlineStr">
        <is>
          <t>power_task (P2)</t>
        </is>
      </c>
      <c r="C74" s="25" t="inlineStr">
        <is>
          <t>3</t>
        </is>
      </c>
      <c r="D74" s="25" t="inlineStr">
        <is>
          <t>2 KB</t>
        </is>
      </c>
      <c r="E74" s="25" t="inlineStr">
        <is>
          <t>időzített</t>
        </is>
      </c>
      <c r="F74" s="25" t="inlineStr">
        <is>
          <t>állapotgép események</t>
        </is>
      </c>
    </row>
    <row r="75" ht="34.5" customHeight="1" s="18">
      <c r="A75" s="25" t="inlineStr">
        <is>
          <t>Display</t>
        </is>
      </c>
      <c r="B75" s="25" t="inlineStr">
        <is>
          <t>lvgl_task (esp_lvgl_port)</t>
        </is>
      </c>
      <c r="C75" s="25" t="inlineStr">
        <is>
          <t>4 / mag 1</t>
        </is>
      </c>
      <c r="D75" s="25" t="inlineStr">
        <is>
          <t>6–8 KB</t>
        </is>
      </c>
      <c r="E75" s="25" t="inlineStr">
        <is>
          <t>lv_timer_handler, 5 ms</t>
        </is>
      </c>
      <c r="F75" s="25" t="inlineStr">
        <is>
          <t>lvgl_port_lock védi az LVGL-hívásokat</t>
        </is>
      </c>
    </row>
    <row r="76" ht="90.75" customHeight="1" s="18">
      <c r="A76" s="25" t="inlineStr">
        <is>
          <t>Display</t>
        </is>
      </c>
      <c r="B76" s="25" t="inlineStr">
        <is>
          <t>link_task (disp_link)</t>
        </is>
      </c>
      <c r="C76" s="25" t="inlineStr">
        <is>
          <t>5 / mag 0</t>
        </is>
      </c>
      <c r="D76" s="25" t="inlineStr">
        <is>
          <t>3 KB</t>
        </is>
      </c>
      <c r="E76" s="25" t="inlineStr">
        <is>
          <t>blokkoló xQueueReceive</t>
        </is>
      </c>
      <c r="F76" s="25" t="inlineStr">
        <is>
          <t>a recv-callback → queue (len 8, 250 B-os elemek); → UiData (mutex-szal védett)</t>
        </is>
      </c>
    </row>
    <row r="77" ht="15" customHeight="1" s="18">
      <c r="A77" s="25" t="inlineStr">
        <is>
          <t>Display</t>
        </is>
      </c>
      <c r="B77" s="25" t="inlineStr">
        <is>
          <t>touch (esp_lvgl_port része)</t>
        </is>
      </c>
      <c r="C77" s="25" t="inlineStr">
        <is>
          <t>–</t>
        </is>
      </c>
      <c r="D77" s="25" t="inlineStr">
        <is>
          <t>–</t>
        </is>
      </c>
      <c r="E77" s="25" t="inlineStr">
        <is>
          <t>–</t>
        </is>
      </c>
      <c r="F77" s="25" t="inlineStr">
        <is>
          <t>LVGL indev</t>
        </is>
      </c>
    </row>
    <row r="78" ht="15" customHeight="1" s="18">
      <c r="A78" s="25" t="inlineStr">
        <is>
          <t>Display</t>
        </is>
      </c>
      <c r="B78" s="25" t="inlineStr">
        <is>
          <t>battery_task (P2)</t>
        </is>
      </c>
      <c r="C78" s="25" t="inlineStr">
        <is>
          <t>2</t>
        </is>
      </c>
      <c r="D78" s="25" t="inlineStr">
        <is>
          <t>2 KB</t>
        </is>
      </c>
      <c r="E78" s="25" t="inlineStr">
        <is>
          <t>1 s</t>
        </is>
      </c>
      <c r="F78" s="25" t="inlineStr">
        <is>
          <t>UiData</t>
        </is>
      </c>
    </row>
    <row r="79" ht="57" customHeight="1" s="18">
      <c r="A79" s="25" t="inlineStr">
        <is>
          <t>Megjegyzés</t>
        </is>
      </c>
      <c r="B79" s="25" t="inlineStr">
        <is>
          <t>Az ESP-NOW callback a Wi-Fi feladat kontextusában fut: csak másol és sorba tesz, nem hív LVGL-t, nem naplóz sokat.</t>
        </is>
      </c>
      <c r="C79" s="25" t="n"/>
      <c r="D79" s="25" t="n"/>
      <c r="E79" s="25" t="n"/>
      <c r="F79" s="25" t="inlineStr">
        <is>
          <t>Stack: uxTaskGetStackHighWaterMark mérés után szűkíteni</t>
        </is>
      </c>
    </row>
    <row r="81" ht="15" customHeight="1" s="18">
      <c r="A81" s="32" t="inlineStr">
        <is>
          <t>4.1. Kijelző lábkiosztás (Waveshare 1.85" modul ↔ ESP32-S3-DevKit, a gyártói példa szerint; a kiosztás a 2026.10.19-i fényképen alapul, kapcsolás előtt egyeztetendő)</t>
        </is>
      </c>
    </row>
    <row r="82" ht="15" customHeight="1" s="18">
      <c r="A82" s="24" t="inlineStr">
        <is>
          <t>Modul jele</t>
        </is>
      </c>
      <c r="B82" s="24" t="inlineStr">
        <is>
          <t>Jel</t>
        </is>
      </c>
      <c r="C82" s="24" t="inlineStr">
        <is>
          <t>ESP32-S3 GPIO (devkit)</t>
        </is>
      </c>
      <c r="D82" s="24" t="inlineStr">
        <is>
          <t>Megjegyzés</t>
        </is>
      </c>
      <c r="E82" s="24" t="inlineStr">
        <is>
          <t>Egyedi panel (S3-N8R8)</t>
        </is>
      </c>
      <c r="F82" s="24" t="inlineStr">
        <is>
          <t>S</t>
        </is>
      </c>
    </row>
    <row r="83" ht="15" customHeight="1" s="18">
      <c r="A83" s="25" t="inlineStr">
        <is>
          <t>LCD_IO0</t>
        </is>
      </c>
      <c r="B83" s="25" t="inlineStr">
        <is>
          <t>QSPI D0</t>
        </is>
      </c>
      <c r="C83" s="25" t="inlineStr">
        <is>
          <t>9</t>
        </is>
      </c>
      <c r="D83" s="25" t="n"/>
      <c r="E83" s="25" t="inlineStr">
        <is>
          <t>kitöltendő a kapcsolási rajzból</t>
        </is>
      </c>
      <c r="F83" s="25" t="n"/>
    </row>
    <row r="84" ht="15" customHeight="1" s="18">
      <c r="A84" s="25" t="inlineStr">
        <is>
          <t>LCD_IO1</t>
        </is>
      </c>
      <c r="B84" s="25" t="inlineStr">
        <is>
          <t>QSPI D1</t>
        </is>
      </c>
      <c r="C84" s="25" t="inlineStr">
        <is>
          <t>8</t>
        </is>
      </c>
      <c r="D84" s="25" t="n"/>
      <c r="E84" s="25" t="n"/>
      <c r="F84" s="25" t="n"/>
    </row>
    <row r="85" ht="15" customHeight="1" s="18">
      <c r="A85" s="25" t="inlineStr">
        <is>
          <t>LCD_IO2</t>
        </is>
      </c>
      <c r="B85" s="25" t="inlineStr">
        <is>
          <t>QSPI D2</t>
        </is>
      </c>
      <c r="C85" s="25" t="inlineStr">
        <is>
          <t>7</t>
        </is>
      </c>
      <c r="D85" s="25" t="inlineStr">
        <is>
          <t>Az egyedi panelen az IO7 az akkumulátor-ADC</t>
        </is>
      </c>
      <c r="E85" s="25" t="n"/>
      <c r="F85" s="25" t="n"/>
    </row>
    <row r="86" ht="15" customHeight="1" s="18">
      <c r="A86" s="25" t="inlineStr">
        <is>
          <t>LCD_IO3</t>
        </is>
      </c>
      <c r="B86" s="25" t="inlineStr">
        <is>
          <t>QSPI D3</t>
        </is>
      </c>
      <c r="C86" s="25" t="inlineStr">
        <is>
          <t>6</t>
        </is>
      </c>
      <c r="D86" s="25" t="n"/>
      <c r="E86" s="25" t="n"/>
      <c r="F86" s="25" t="n"/>
    </row>
    <row r="87" ht="15" customHeight="1" s="18">
      <c r="A87" s="25" t="inlineStr">
        <is>
          <t>LCD_CLK</t>
        </is>
      </c>
      <c r="B87" s="25" t="inlineStr">
        <is>
          <t>QSPI CLK</t>
        </is>
      </c>
      <c r="C87" s="25" t="inlineStr">
        <is>
          <t>4</t>
        </is>
      </c>
      <c r="D87" s="25" t="n"/>
      <c r="E87" s="25" t="n"/>
      <c r="F87" s="25" t="n"/>
    </row>
    <row r="88" ht="15" customHeight="1" s="18">
      <c r="A88" s="25" t="inlineStr">
        <is>
          <t>LCD_CS</t>
        </is>
      </c>
      <c r="B88" s="25" t="inlineStr">
        <is>
          <t>Chip select</t>
        </is>
      </c>
      <c r="C88" s="25" t="inlineStr">
        <is>
          <t>3</t>
        </is>
      </c>
      <c r="D88" s="25" t="n"/>
      <c r="E88" s="25" t="n"/>
      <c r="F88" s="25" t="n"/>
    </row>
    <row r="89" ht="15" customHeight="1" s="18">
      <c r="A89" s="25" t="inlineStr">
        <is>
          <t>LCD_TE</t>
        </is>
      </c>
      <c r="B89" s="25" t="inlineStr">
        <is>
          <t>Tearing effect</t>
        </is>
      </c>
      <c r="C89" s="25" t="inlineStr">
        <is>
          <t>18</t>
        </is>
      </c>
      <c r="D89" s="25" t="inlineStr">
        <is>
          <t>Szinkron a képkockákhoz</t>
        </is>
      </c>
      <c r="E89" s="25" t="n"/>
      <c r="F89" s="25" t="n"/>
    </row>
    <row r="90" ht="15" customHeight="1" s="18">
      <c r="A90" s="25" t="inlineStr">
        <is>
          <t>LCD_RST</t>
        </is>
      </c>
      <c r="B90" s="25" t="inlineStr">
        <is>
          <t>Reset</t>
        </is>
      </c>
      <c r="C90" s="25" t="inlineStr">
        <is>
          <t>39</t>
        </is>
      </c>
      <c r="D90" s="25" t="n"/>
      <c r="E90" s="25" t="n"/>
      <c r="F90" s="25" t="n"/>
    </row>
    <row r="91" ht="15" customHeight="1" s="18">
      <c r="A91" s="25" t="inlineStr">
        <is>
          <t>LCD_BL</t>
        </is>
      </c>
      <c r="B91" s="25" t="inlineStr">
        <is>
          <t>Háttérvilágítás (PWM)</t>
        </is>
      </c>
      <c r="C91" s="25" t="inlineStr">
        <is>
          <t>5</t>
        </is>
      </c>
      <c r="D91" s="25" t="n"/>
      <c r="E91" s="25" t="n"/>
      <c r="F91" s="25" t="n"/>
    </row>
    <row r="92" ht="15" customHeight="1" s="18">
      <c r="A92" s="25" t="inlineStr">
        <is>
          <t>TP_SDA</t>
        </is>
      </c>
      <c r="B92" s="25" t="inlineStr">
        <is>
          <t>Érintő I²C SDA</t>
        </is>
      </c>
      <c r="C92" s="25" t="inlineStr">
        <is>
          <t>10</t>
        </is>
      </c>
      <c r="D92" s="25" t="n"/>
      <c r="E92" s="25" t="n"/>
      <c r="F92" s="25" t="n"/>
    </row>
    <row r="93" ht="15" customHeight="1" s="18">
      <c r="A93" s="25" t="inlineStr">
        <is>
          <t>TP_SCL</t>
        </is>
      </c>
      <c r="B93" s="25" t="inlineStr">
        <is>
          <t>Érintő I²C SCL</t>
        </is>
      </c>
      <c r="C93" s="25" t="inlineStr">
        <is>
          <t>11</t>
        </is>
      </c>
      <c r="D93" s="25" t="n"/>
      <c r="E93" s="25" t="n"/>
      <c r="F93" s="25" t="n"/>
    </row>
    <row r="94" ht="15" customHeight="1" s="18">
      <c r="A94" s="25" t="inlineStr">
        <is>
          <t>TP_RST</t>
        </is>
      </c>
      <c r="B94" s="25" t="inlineStr">
        <is>
          <t>Érintő reset</t>
        </is>
      </c>
      <c r="C94" s="25" t="inlineStr">
        <is>
          <t>40</t>
        </is>
      </c>
      <c r="D94" s="25" t="n"/>
      <c r="E94" s="25" t="n"/>
      <c r="F94" s="25" t="n"/>
    </row>
    <row r="95" ht="15" customHeight="1" s="18">
      <c r="A95" s="25" t="inlineStr">
        <is>
          <t>TP_INT</t>
        </is>
      </c>
      <c r="B95" s="25" t="inlineStr">
        <is>
          <t>Érintő megszakítás</t>
        </is>
      </c>
      <c r="C95" s="25" t="inlineStr">
        <is>
          <t>41</t>
        </is>
      </c>
      <c r="D95" s="25" t="n"/>
      <c r="E95" s="25" t="n"/>
      <c r="F95" s="25" t="n"/>
    </row>
    <row r="96" ht="15" customHeight="1" s="18">
      <c r="A96" s="25" t="inlineStr">
        <is>
          <t>VCC / GND</t>
        </is>
      </c>
      <c r="B96" s="25" t="inlineStr">
        <is>
          <t>Táp</t>
        </is>
      </c>
      <c r="C96" s="25" t="inlineStr">
        <is>
          <t>3V3 / GND</t>
        </is>
      </c>
      <c r="D96" s="25" t="n"/>
      <c r="E96" s="25" t="n"/>
      <c r="F96" s="25" t="n"/>
    </row>
    <row r="98" ht="15" customHeight="1" s="18">
      <c r="A98" s="33" t="inlineStr">
        <is>
          <t>A 35–37-es GPIO-k az N8R8 modul oktális PSRAM-jáé, ezeket a kiosztás elkerüli.</t>
        </is>
      </c>
    </row>
    <row r="100" ht="15" customHeight="1" s="18">
      <c r="A100" s="32" t="inlineStr">
        <is>
          <t>5. ESP-NOW üzenetformátum (little-endian, packed; verzió: 1)</t>
        </is>
      </c>
    </row>
    <row r="101" ht="15" customHeight="1" s="18">
      <c r="A101" s="24" t="inlineStr">
        <is>
          <t>Üzenet</t>
        </is>
      </c>
      <c r="B101" s="24" t="inlineStr">
        <is>
          <t>Mező</t>
        </is>
      </c>
      <c r="C101" s="24" t="inlineStr">
        <is>
          <t>Típus</t>
        </is>
      </c>
      <c r="D101" s="24" t="inlineStr">
        <is>
          <t>Egység / átváltás</t>
        </is>
      </c>
      <c r="E101" s="24" t="inlineStr">
        <is>
          <t>Megjegyzés</t>
        </is>
      </c>
      <c r="F101" s="24" t="inlineStr">
        <is>
          <t>Méret</t>
        </is>
      </c>
    </row>
    <row r="102" ht="23.25" customHeight="1" s="18">
      <c r="A102" s="25" t="inlineStr">
        <is>
          <t>Header (minden üzenet)</t>
        </is>
      </c>
      <c r="B102" s="25" t="inlineStr">
        <is>
          <t>ver, type, seq</t>
        </is>
      </c>
      <c r="C102" s="25" t="inlineStr">
        <is>
          <t>u8, u8, u16</t>
        </is>
      </c>
      <c r="D102" s="25" t="inlineStr">
        <is>
          <t>–</t>
        </is>
      </c>
      <c r="E102" s="25" t="inlineStr">
        <is>
          <t>seq küldőnként növekvő, átfordul</t>
        </is>
      </c>
      <c r="F102" s="25" t="inlineStr">
        <is>
          <t>4 B</t>
        </is>
      </c>
    </row>
    <row r="103" ht="23.25" customHeight="1" s="18">
      <c r="A103" s="25" t="inlineStr">
        <is>
          <t>TELEMETRY</t>
        </is>
      </c>
      <c r="B103" s="25" t="inlineStr">
        <is>
          <t>flags</t>
        </is>
      </c>
      <c r="C103" s="25" t="inlineStr">
        <is>
          <t>u16</t>
        </is>
      </c>
      <c r="D103" s="25" t="inlineStr">
        <is>
          <t>bit0 RPM, bit1 sebesség, bit2 hűtővíz, bit3 fojtószelep, bit4 akkufesz., bit5 MIL érvényes</t>
        </is>
      </c>
      <c r="E103" s="25" t="inlineStr">
        <is>
          <t>Az „érvényes” bit jelzi, hogy a mező friss/támogatott</t>
        </is>
      </c>
      <c r="F103" s="25" t="inlineStr">
        <is>
          <t>2 B</t>
        </is>
      </c>
    </row>
    <row r="104" ht="15" customHeight="1" s="18">
      <c r="A104" s="25" t="inlineStr">
        <is>
          <t>TELEMETRY</t>
        </is>
      </c>
      <c r="B104" s="25" t="inlineStr">
        <is>
          <t>rpm</t>
        </is>
      </c>
      <c r="C104" s="25" t="inlineStr">
        <is>
          <t>u16</t>
        </is>
      </c>
      <c r="D104" s="25" t="inlineStr">
        <is>
          <t>1/4 ford/perc (nyers OBD érték)</t>
        </is>
      </c>
      <c r="E104" s="25" t="inlineStr">
        <is>
          <t>kijelzőn: rpm/4</t>
        </is>
      </c>
      <c r="F104" s="25" t="inlineStr">
        <is>
          <t>2 B</t>
        </is>
      </c>
    </row>
    <row r="105" ht="15" customHeight="1" s="18">
      <c r="A105" s="25" t="inlineStr">
        <is>
          <t>TELEMETRY</t>
        </is>
      </c>
      <c r="B105" s="25" t="inlineStr">
        <is>
          <t>speed</t>
        </is>
      </c>
      <c r="C105" s="25" t="inlineStr">
        <is>
          <t>u8</t>
        </is>
      </c>
      <c r="D105" s="25" t="inlineStr">
        <is>
          <t>km/h</t>
        </is>
      </c>
      <c r="E105" s="25" t="inlineStr">
        <is>
          <t> </t>
        </is>
      </c>
      <c r="F105" s="25" t="inlineStr">
        <is>
          <t>1 B</t>
        </is>
      </c>
    </row>
    <row r="106" ht="15" customHeight="1" s="18">
      <c r="A106" s="25" t="inlineStr">
        <is>
          <t>TELEMETRY</t>
        </is>
      </c>
      <c r="B106" s="25" t="inlineStr">
        <is>
          <t>coolant</t>
        </is>
      </c>
      <c r="C106" s="25" t="inlineStr">
        <is>
          <t>i16</t>
        </is>
      </c>
      <c r="D106" s="25" t="inlineStr">
        <is>
          <t>°C</t>
        </is>
      </c>
      <c r="E106" s="25" t="n"/>
      <c r="F106" s="25" t="inlineStr">
        <is>
          <t>2 B</t>
        </is>
      </c>
    </row>
    <row r="107" ht="15" customHeight="1" s="18">
      <c r="A107" s="25" t="inlineStr">
        <is>
          <t>TELEMETRY</t>
        </is>
      </c>
      <c r="B107" s="25" t="inlineStr">
        <is>
          <t>throttle</t>
        </is>
      </c>
      <c r="C107" s="25" t="inlineStr">
        <is>
          <t>u8</t>
        </is>
      </c>
      <c r="D107" s="25" t="inlineStr">
        <is>
          <t>0…255 → 0…100 %</t>
        </is>
      </c>
      <c r="E107" s="25" t="n"/>
      <c r="F107" s="25" t="inlineStr">
        <is>
          <t>1 B</t>
        </is>
      </c>
    </row>
    <row r="108" ht="15" customHeight="1" s="18">
      <c r="A108" s="25" t="inlineStr">
        <is>
          <t>TELEMETRY</t>
        </is>
      </c>
      <c r="B108" s="25" t="inlineStr">
        <is>
          <t>vbat</t>
        </is>
      </c>
      <c r="C108" s="25" t="inlineStr">
        <is>
          <t>u16</t>
        </is>
      </c>
      <c r="D108" s="25" t="inlineStr">
        <is>
          <t>mV</t>
        </is>
      </c>
      <c r="E108" s="25" t="inlineStr">
        <is>
          <t>PID 0x42</t>
        </is>
      </c>
      <c r="F108" s="25" t="inlineStr">
        <is>
          <t>2 B</t>
        </is>
      </c>
    </row>
    <row r="109" ht="15" customHeight="1" s="18">
      <c r="A109" s="25" t="inlineStr">
        <is>
          <t>TELEMETRY</t>
        </is>
      </c>
      <c r="B109" s="25" t="inlineStr">
        <is>
          <t>mil_dtc</t>
        </is>
      </c>
      <c r="C109" s="25" t="inlineStr">
        <is>
          <t>u8</t>
        </is>
      </c>
      <c r="D109" s="25" t="inlineStr">
        <is>
          <t>bit7 = MIL, bit0..6 = hibakódok száma</t>
        </is>
      </c>
      <c r="E109" s="25" t="inlineStr">
        <is>
          <t>PID 01 01, A bájt</t>
        </is>
      </c>
      <c r="F109" s="25" t="inlineStr">
        <is>
          <t>1 B</t>
        </is>
      </c>
    </row>
    <row r="110" ht="23.25" customHeight="1" s="18">
      <c r="A110" s="25" t="inlineStr">
        <is>
          <t>TELEMETRY – összesen</t>
        </is>
      </c>
      <c r="B110" s="25" t="n"/>
      <c r="C110" s="25" t="n"/>
      <c r="D110" s="25" t="n"/>
      <c r="E110" s="25" t="inlineStr">
        <is>
          <t>15 B (ESP-NOW max. 250 B)</t>
        </is>
      </c>
      <c r="F110" s="25" t="inlineStr">
        <is>
          <t>15 B</t>
        </is>
      </c>
    </row>
    <row r="111" ht="15" customHeight="1" s="18">
      <c r="A111" s="25" t="inlineStr">
        <is>
          <t>VIN</t>
        </is>
      </c>
      <c r="B111" s="25" t="inlineStr">
        <is>
          <t>vin[18]</t>
        </is>
      </c>
      <c r="C111" s="25" t="inlineStr">
        <is>
          <t>char</t>
        </is>
      </c>
      <c r="D111" s="25" t="inlineStr">
        <is>
          <t>17 ASCII + lezáró</t>
        </is>
      </c>
      <c r="E111" s="25" t="inlineStr">
        <is>
          <t>Indításkor, egyszer</t>
        </is>
      </c>
      <c r="F111" s="25" t="inlineStr">
        <is>
          <t>22 B</t>
        </is>
      </c>
    </row>
    <row r="112" ht="23.25" customHeight="1" s="18">
      <c r="A112" s="25" t="inlineStr">
        <is>
          <t>READY</t>
        </is>
      </c>
      <c r="B112" s="25" t="inlineStr">
        <is>
          <t>role, fw_version</t>
        </is>
      </c>
      <c r="C112" s="25" t="inlineStr">
        <is>
          <t>u8, u8</t>
        </is>
      </c>
      <c r="D112" s="25" t="n"/>
      <c r="E112" s="25" t="inlineStr">
        <is>
          <t>A kijelző jelzi, hogy fogad; tartalmazza a párosítást</t>
        </is>
      </c>
      <c r="F112" s="25" t="inlineStr">
        <is>
          <t>6 B</t>
        </is>
      </c>
    </row>
    <row r="113" ht="15" customHeight="1" s="18">
      <c r="A113" s="25" t="inlineStr">
        <is>
          <t>HEARTBEAT</t>
        </is>
      </c>
      <c r="B113" s="25" t="inlineStr">
        <is>
          <t>uptime_s</t>
        </is>
      </c>
      <c r="C113" s="25" t="inlineStr">
        <is>
          <t>u32</t>
        </is>
      </c>
      <c r="D113" s="25" t="n"/>
      <c r="E113" s="25" t="inlineStr">
        <is>
          <t>Kapcsolat- és életjel</t>
        </is>
      </c>
      <c r="F113" s="25" t="inlineStr">
        <is>
          <t>8 B</t>
        </is>
      </c>
    </row>
    <row r="114" ht="15" customHeight="1" s="18">
      <c r="A114" s="25" t="inlineStr">
        <is>
          <t>REQUEST</t>
        </is>
      </c>
      <c r="B114" s="25" t="inlineStr">
        <is>
          <t>code, arg</t>
        </is>
      </c>
      <c r="C114" s="25" t="inlineStr">
        <is>
          <t>u8, u8</t>
        </is>
      </c>
      <c r="D114" s="25" t="inlineStr">
        <is>
          <t>0 = VIN, 1 = hibakódok olvasása (a törlés nem támogatott, T-22)</t>
        </is>
      </c>
      <c r="E114" s="25" t="inlineStr">
        <is>
          <t>Kijelző → OBD</t>
        </is>
      </c>
      <c r="F114" s="25" t="inlineStr">
        <is>
          <t>6 B</t>
        </is>
      </c>
    </row>
    <row r="115" ht="15" customHeight="1" s="18">
      <c r="A115" s="25" t="inlineStr">
        <is>
          <t>SLEEP</t>
        </is>
      </c>
      <c r="B115" s="25" t="inlineStr">
        <is>
          <t>reason</t>
        </is>
      </c>
      <c r="C115" s="25" t="inlineStr">
        <is>
          <t>u8</t>
        </is>
      </c>
      <c r="D115" s="25" t="n"/>
      <c r="E115" s="25" t="inlineStr">
        <is>
          <t>Alvásra készülés jelzése</t>
        </is>
      </c>
      <c r="F115" s="25" t="inlineStr">
        <is>
          <t>5 B</t>
        </is>
      </c>
    </row>
    <row r="117" ht="15" customHeight="1" s="18">
      <c r="A117" s="32" t="inlineStr">
        <is>
          <t>6. Számítások és képletek a megvalósításhoz</t>
        </is>
      </c>
    </row>
    <row r="118" ht="15" customHeight="1" s="18">
      <c r="A118" s="24" t="inlineStr">
        <is>
          <t>Téma</t>
        </is>
      </c>
      <c r="B118" s="24" t="inlineStr">
        <is>
          <t>Képlet / érték</t>
        </is>
      </c>
      <c r="C118" s="24" t="n"/>
      <c r="D118" s="24" t="inlineStr">
        <is>
          <t>Magyarázat</t>
        </is>
      </c>
      <c r="E118" s="24" t="inlineStr">
        <is>
          <t>Hol használjuk</t>
        </is>
      </c>
      <c r="F118" s="24" t="inlineStr">
        <is>
          <t>S</t>
        </is>
      </c>
    </row>
    <row r="119" ht="57" customHeight="1" s="18">
      <c r="A119" s="25" t="inlineStr">
        <is>
          <t>PID-dekódolás (SAE J1979)</t>
        </is>
      </c>
      <c r="B119" s="25" t="inlineStr">
        <is>
          <t>RPM = (256·A + B) / 4 ; sebesség = A ; hűtővíz = A − 40 ; fojtószelep = A·100/255 ; akkufeszültség = (256·A + B) / 1000 V ; MIL = A.7 ; hibakódok = A &amp; 0x7F</t>
        </is>
      </c>
      <c r="C119" s="25" t="n"/>
      <c r="D119" s="25" t="inlineStr">
        <is>
          <t>A, B a válasz adatbájtjai (01 0C válasz: 04 41 0C A B).</t>
        </is>
      </c>
      <c r="E119" s="25" t="inlineStr">
        <is>
          <t>pid_table</t>
        </is>
      </c>
      <c r="F119" s="25" t="inlineStr">
        <is>
          <t>S-03</t>
        </is>
      </c>
    </row>
    <row r="120" ht="34.5" customHeight="1" s="18">
      <c r="A120" s="25" t="inlineStr">
        <is>
          <t>TWAI-szűrő (11 bites, egy szűrő)</t>
        </is>
      </c>
      <c r="B120" s="25" t="inlineStr">
        <is>
          <t>acceptance_code = 0x7E8 &lt;&lt; 21 = 0xFD000000 ; acceptance_mask = 0x00FFFFFF</t>
        </is>
      </c>
      <c r="C120" s="25" t="n"/>
      <c r="D120" s="25" t="inlineStr">
        <is>
          <t>A mask 1-es bitjei „nem számít”: az azonosító alsó 3 bitje (0x7E8…0x7EF) és az alatta lévő 21 bit.</t>
        </is>
      </c>
      <c r="E120" s="25" t="inlineStr">
        <is>
          <t>TwaiBus::set_filter_obd</t>
        </is>
      </c>
      <c r="F120" s="25" t="inlineStr">
        <is>
          <t>S-02</t>
        </is>
      </c>
    </row>
    <row r="121" ht="34.5" customHeight="1" s="18">
      <c r="A121" s="25" t="inlineStr">
        <is>
          <t>ISO-TP: VIN-válasz</t>
        </is>
      </c>
      <c r="B121" s="25" t="inlineStr">
        <is>
          <t>49 02 01 + 17 karakter = 20 B → első keret (FF) 6 B + két folytatókeret (CF) 7 + 7 B</t>
        </is>
      </c>
      <c r="C121" s="25" t="n"/>
      <c r="D121" s="25" t="inlineStr">
        <is>
          <t>A kérdező az FF után folyamvezérlő keretet (FC: 0x30, BS = 0, STmin = 0) küld. PCI: FF = 0x10 | hossz_hi, hossz_lo; CF = 0x21, 0x22.</t>
        </is>
      </c>
      <c r="E121" s="25" t="inlineStr">
        <is>
          <t>IsoTp</t>
        </is>
      </c>
      <c r="F121" s="25" t="inlineStr">
        <is>
          <t>S-18</t>
        </is>
      </c>
    </row>
    <row r="122" ht="45.75" customHeight="1" s="18">
      <c r="A122" s="25" t="inlineStr">
        <is>
          <t>PID-terv terhelése</t>
        </is>
      </c>
      <c r="B122" s="25" t="inlineStr">
        <is>
          <t>Σ kérés/s = 19,7 ; 19,7 · 40 ms ≈ 0,79</t>
        </is>
      </c>
      <c r="C122" s="25" t="n"/>
      <c r="D122" s="25" t="inlineStr">
        <is>
          <t>Egy 8 bájtos keret 0,22…0,27 ms a buszon (500 kbit/s), tehát a szűk keresztmetszet az ECU válaszideje (feltevés: 40 ms), nem a busz. 79% kihasználtság kevés tartalékot hagy: az autón mérni kell, és szükség esetén a gyakoriságot csökkenteni.</t>
        </is>
      </c>
      <c r="E122" s="25" t="inlineStr">
        <is>
          <t>PidScheduler</t>
        </is>
      </c>
      <c r="F122" s="25" t="inlineStr">
        <is>
          <t>S-03</t>
        </is>
      </c>
    </row>
    <row r="123" ht="34.5" customHeight="1" s="18">
      <c r="A123" s="25" t="inlineStr">
        <is>
          <t>LVGL-puffer</t>
        </is>
      </c>
      <c r="B123" s="25" t="inlineStr">
        <is>
          <t>360 · 40 sor · 2 B = 28 800 B ; ×2 puffer = 57 600 B (belső SRAM)</t>
        </is>
      </c>
      <c r="C123" s="25" t="n"/>
      <c r="D123" s="25" t="inlineStr">
        <is>
          <t>Teljes képkocka: 360·360·2 = 259 200 B ≈ 253 KiB (PSRAM). Átvitel 40 MHz-es QSPI-n (4 bit/órajel): 259 200 · 8 / (40·10⁶ · 4) = 12,96 ms; egy 40 soros sáv 1,44 ms.</t>
        </is>
      </c>
      <c r="E123" s="25" t="inlineStr">
        <is>
          <t>lvgl_setup</t>
        </is>
      </c>
      <c r="F123" s="25" t="inlineStr">
        <is>
          <t>S-06</t>
        </is>
      </c>
    </row>
    <row r="124" ht="34.5" customHeight="1" s="18">
      <c r="A124" s="25" t="inlineStr">
        <is>
          <t>Simítás</t>
        </is>
      </c>
      <c r="B124" s="25" t="inlineStr">
        <is>
          <t>minta-periódus T = 100 ms (10 Hz); kijelző ~30 fps → kb. 3 képkocka/minta</t>
        </is>
      </c>
      <c r="C124" s="25" t="n"/>
      <c r="D124" s="25" t="inlineStr">
        <is>
          <t>A kijelzett érték az előző értékről az újra T idő alatt lineárisan (vagy LVGL-animációval) halad; ennek ára legfeljebb egy mintányi (≤ 100 ms) késés. Extrapoláció nem kell (túllövés).</t>
        </is>
      </c>
      <c r="E124" s="25" t="inlineStr">
        <is>
          <t>Smoother, disp_ui</t>
        </is>
      </c>
      <c r="F124" s="25" t="inlineStr">
        <is>
          <t>S-07, S-08</t>
        </is>
      </c>
    </row>
    <row r="125" ht="23.25" customHeight="1" s="18">
      <c r="A125" s="25" t="inlineStr">
        <is>
          <t>Elavult adat</t>
        </is>
      </c>
      <c r="B125" s="25" t="inlineStr">
        <is>
          <t>küszöb = 500 ms (≈ 5 kihagyott minta 10 Hz-nél)</t>
        </is>
      </c>
      <c r="C125" s="25" t="n"/>
      <c r="D125" s="25" t="inlineStr">
        <is>
          <t>Ha ennyi ideig nem érkezik csomag, a kijelző „NINCS ADAT” jelzést ad. Sorszámhiány: lost = (seq − seq_prev − 1) mod 65536.</t>
        </is>
      </c>
      <c r="E125" s="25" t="inlineStr">
        <is>
          <t>disp_link</t>
        </is>
      </c>
      <c r="F125" s="25" t="inlineStr">
        <is>
          <t>S-07</t>
        </is>
      </c>
    </row>
    <row r="126" ht="23.25" customHeight="1" s="18">
      <c r="A126" s="25" t="inlineStr">
        <is>
          <t>Protokoll-keresés ideje</t>
        </is>
      </c>
      <c r="B126" s="25" t="inlineStr">
        <is>
          <t>kb. 2 × 300 ms (feltevés) listen-only hallgatás sebességenként</t>
        </is>
      </c>
      <c r="C126" s="25" t="n"/>
      <c r="D126" s="25" t="inlineStr">
        <is>
          <t>A pontos várakozást az autón kell mérni; a gyújtásnak bekapcsolva kell lennie.</t>
        </is>
      </c>
      <c r="E126" s="25" t="inlineStr">
        <is>
          <t>obd_detect</t>
        </is>
      </c>
      <c r="F126" s="25" t="inlineStr">
        <is>
          <t>S-02</t>
        </is>
      </c>
    </row>
    <row r="128" ht="15" customHeight="1" s="18">
      <c r="A128" s="32" t="inlineStr">
        <is>
          <t>7. Fejlesztési sorrend (mérföldkövek)</t>
        </is>
      </c>
    </row>
    <row r="129" ht="15" customHeight="1" s="18">
      <c r="A129" s="24" t="inlineStr">
        <is>
          <t>Mérföldkő</t>
        </is>
      </c>
      <c r="B129" s="24" t="inlineStr">
        <is>
          <t>Cél</t>
        </is>
      </c>
      <c r="C129" s="24" t="inlineStr">
        <is>
          <t>Hardver</t>
        </is>
      </c>
      <c r="D129" s="24" t="inlineStr">
        <is>
          <t>Elfogadási kritérium</t>
        </is>
      </c>
      <c r="E129" s="24" t="inlineStr">
        <is>
          <t>Kapcsolódó S</t>
        </is>
      </c>
      <c r="F129" s="24" t="inlineStr">
        <is>
          <t>Státusz</t>
        </is>
      </c>
    </row>
    <row r="130" ht="34.5" customHeight="1" s="18">
      <c r="A130" s="25" t="inlineStr">
        <is>
          <t>M0 Környezet</t>
        </is>
      </c>
      <c r="B130" s="25" t="inlineStr">
        <is>
          <t>ESP-IDF + VS Code + git; mindkét üres projekt és a közös komponensek lefordulnak</t>
        </is>
      </c>
      <c r="C130" s="25" t="inlineStr">
        <is>
          <t>PC</t>
        </is>
      </c>
      <c r="D130" s="25" t="inlineStr">
        <is>
          <t>idf.py build mindkét projekten hibátlan</t>
        </is>
      </c>
      <c r="E130" s="25" t="inlineStr">
        <is>
          <t>–</t>
        </is>
      </c>
      <c r="F130" s="25" t="inlineStr">
        <is>
          <t>Mappaváz kész (Project_OpenGauge_v0_1.zip); ESP-IDF telepítése és az első build hátravan</t>
        </is>
      </c>
    </row>
    <row r="131" ht="23.25" customHeight="1" s="18">
      <c r="A131" s="25" t="inlineStr">
        <is>
          <t>M1 Protokoll</t>
        </is>
      </c>
      <c r="B131" s="25" t="inlineStr">
        <is>
          <t>og_protocol, og_seq, pid_table; PC-s egységtesztek</t>
        </is>
      </c>
      <c r="C131" s="25" t="inlineStr">
        <is>
          <t>PC</t>
        </is>
      </c>
      <c r="D131" s="25" t="inlineStr">
        <is>
          <t>Kódolás→dekódolás kör egyezik; sorszám-átfordulás helyes; PID-képletek ismert példákkal</t>
        </is>
      </c>
      <c r="E131" s="25" t="inlineStr">
        <is>
          <t>S-01, S-20</t>
        </is>
      </c>
      <c r="F131" s="25" t="inlineStr">
        <is>
          <t>Váz/kód kész, PC-n tesztelve; ESP-IDF-fel még nem fordítva</t>
        </is>
      </c>
    </row>
    <row r="132" ht="23.25" customHeight="1" s="18">
      <c r="A132" s="25" t="inlineStr">
        <is>
          <t>M2 Kijelző-bring-up</t>
        </is>
      </c>
      <c r="B132" s="25" t="inlineStr">
        <is>
          <t>Panel inicializálás, színsáv, háttérvilágítás</t>
        </is>
      </c>
      <c r="C132" s="25" t="inlineStr">
        <is>
          <t>S3 devkit + kijelző</t>
        </is>
      </c>
      <c r="D132" s="25" t="inlineStr">
        <is>
          <t>Mind a 360×360 pixel helyes színnel; fényerő szabályozható</t>
        </is>
      </c>
      <c r="E132" s="25" t="inlineStr">
        <is>
          <t>S-05</t>
        </is>
      </c>
      <c r="F132" s="25" t="inlineStr">
        <is>
          <t>Tervezett</t>
        </is>
      </c>
    </row>
    <row r="133" ht="23.25" customHeight="1" s="18">
      <c r="A133" s="25" t="inlineStr">
        <is>
          <t>M3 LVGL</t>
        </is>
      </c>
      <c r="B133" s="25" t="inlineStr">
        <is>
          <t>esp_lvgl_port, műszerfal álló adattal, majd animációval</t>
        </is>
      </c>
      <c r="C133" s="25" t="inlineStr">
        <is>
          <t>S3 devkit + kijelző</t>
        </is>
      </c>
      <c r="D133" s="25" t="inlineStr">
        <is>
          <t>Folyamatos mutatómozgás, TE-szinkron, nincs szakadás; kép-/másodpercszám mérése</t>
        </is>
      </c>
      <c r="E133" s="25" t="inlineStr">
        <is>
          <t>S-06, S-08</t>
        </is>
      </c>
      <c r="F133" s="25" t="inlineStr">
        <is>
          <t>Tervezett</t>
        </is>
      </c>
    </row>
    <row r="134" ht="23.25" customHeight="1" s="18">
      <c r="A134" s="25" t="inlineStr">
        <is>
          <t>M4 ESP-NOW</t>
        </is>
      </c>
      <c r="B134" s="25" t="inlineStr">
        <is>
          <t>S2 telemetria-generátor → S3 kijelző, sorszám- és elavulásjelzés</t>
        </is>
      </c>
      <c r="C134" s="25" t="inlineStr">
        <is>
          <t>S2 mini + S3 + kijelző</t>
        </is>
      </c>
      <c r="D134" s="25" t="inlineStr">
        <is>
          <t>Folyamatos 10 Hz, veszteségmérés; adó kikapcsolásakor „NINCS ADAT”</t>
        </is>
      </c>
      <c r="E134" s="25" t="inlineStr">
        <is>
          <t>S-07, S-22</t>
        </is>
      </c>
      <c r="F134" s="25" t="inlineStr">
        <is>
          <t>Tervezett</t>
        </is>
      </c>
    </row>
    <row r="135" ht="15" customHeight="1" s="18">
      <c r="A135" s="25" t="inlineStr">
        <is>
          <t>M5 Érintés</t>
        </is>
      </c>
      <c r="B135" s="25" t="inlineStr">
        <is>
          <t>CST816S, képernyőváltás</t>
        </is>
      </c>
      <c r="C135" s="25" t="inlineStr">
        <is>
          <t>S3 + kijelző</t>
        </is>
      </c>
      <c r="D135" s="25" t="inlineStr">
        <is>
          <t>Kézmozdulat megbízhatóan vált nézetet</t>
        </is>
      </c>
      <c r="E135" s="25" t="inlineStr">
        <is>
          <t>S-09, S-10</t>
        </is>
      </c>
      <c r="F135" s="25" t="inlineStr">
        <is>
          <t>Tervezett</t>
        </is>
      </c>
    </row>
    <row r="136" ht="34.5" customHeight="1" s="18">
      <c r="A136" s="25" t="inlineStr">
        <is>
          <t>M6 CAN-oldal</t>
        </is>
      </c>
      <c r="B136" s="25" t="inlineStr">
        <is>
          <t>TwaiBus, ECU-szimulátor, ISO-TP, PID-ütemező, protokoll-keresés</t>
        </is>
      </c>
      <c r="C136" s="25" t="inlineStr">
        <is>
          <t>C3 SuperMini + 2 CAN-TTL modul + S2</t>
        </is>
      </c>
      <c r="D136" s="25" t="inlineStr">
        <is>
          <t>A szimulátorról PID-értékek és a VIN helyesen olvashatók; a kijelzőn megjelenik</t>
        </is>
      </c>
      <c r="E136" s="25" t="inlineStr">
        <is>
          <t>S-02, S-03, S-18, S-21</t>
        </is>
      </c>
      <c r="F136" s="25" t="inlineStr">
        <is>
          <t>A rendelés megérkezése után</t>
        </is>
      </c>
    </row>
    <row r="137" ht="23.25" customHeight="1" s="18">
      <c r="A137" s="25" t="inlineStr">
        <is>
          <t>M7 Autós mérés</t>
        </is>
      </c>
      <c r="B137" s="25" t="inlineStr">
        <is>
          <t>Valós ECU: válaszidő, PID-terv terhelése, protokoll-keresés</t>
        </is>
      </c>
      <c r="C137" s="25" t="inlineStr">
        <is>
          <t>C3 + OBD csatlakozó + autó</t>
        </is>
      </c>
      <c r="D137" s="25" t="inlineStr">
        <is>
          <t>Mért ECU-válaszidő rögzítve; ütemezés ennek megfelelően hangolva</t>
        </is>
      </c>
      <c r="E137" s="25" t="inlineStr">
        <is>
          <t>S-03</t>
        </is>
      </c>
      <c r="F137" s="25" t="inlineStr">
        <is>
          <t>Később</t>
        </is>
      </c>
    </row>
    <row r="138" ht="23.25" customHeight="1" s="18">
      <c r="A138" s="25" t="inlineStr">
        <is>
          <t>M8 Egyedi panelek</t>
        </is>
      </c>
      <c r="B138" s="25" t="inlineStr">
        <is>
          <t>Ugyanaz a kód az egyedi paneleken (board_pins.h)</t>
        </is>
      </c>
      <c r="C138" s="25" t="inlineStr">
        <is>
          <t>OBD és kijelző NYÁK</t>
        </is>
      </c>
      <c r="D138" s="25" t="inlineStr">
        <is>
          <t>Az M2–M7 kritériumai az egyedi paneleken is teljesülnek</t>
        </is>
      </c>
      <c r="E138" s="25" t="inlineStr">
        <is>
          <t>–</t>
        </is>
      </c>
      <c r="F138" s="25" t="inlineStr">
        <is>
          <t>Később</t>
        </is>
      </c>
    </row>
    <row r="139" ht="23.25" customHeight="1" s="18">
      <c r="A139" s="25" t="inlineStr">
        <is>
          <t>M9 Energia / BLE / média</t>
        </is>
      </c>
      <c r="B139" s="25" t="inlineStr">
        <is>
          <t>Light sleep, ébresztés, BLE, médiavezérlés (P2/P3)</t>
        </is>
      </c>
      <c r="C139" s="25" t="inlineStr">
        <is>
          <t>egyedi panelek + telefon</t>
        </is>
      </c>
      <c r="D139" s="25" t="inlineStr">
        <is>
          <t>Mért alvóáram a datasheet-értékek közelében</t>
        </is>
      </c>
      <c r="E139" s="25" t="inlineStr">
        <is>
          <t>S-11…S-15</t>
        </is>
      </c>
      <c r="F139" s="25" t="inlineStr">
        <is>
          <t>Később</t>
        </is>
      </c>
    </row>
  </sheetData>
  <mergeCells count="8">
    <mergeCell ref="A41:F41"/>
    <mergeCell ref="A2:F2"/>
    <mergeCell ref="A54:F54"/>
    <mergeCell ref="A98:F98"/>
    <mergeCell ref="A46:F46"/>
    <mergeCell ref="A37:F37"/>
    <mergeCell ref="A35:F35"/>
    <mergeCell ref="A65:F6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6" customWidth="1" style="17" min="2" max="2"/>
    <col width="38" customWidth="1" style="17" min="3" max="3"/>
    <col width="62" customWidth="1" style="17" min="4" max="4"/>
    <col width="14" customWidth="1" style="17" min="5" max="5"/>
    <col width="16" customWidth="1" style="17" min="6" max="6"/>
    <col width="52" customWidth="1" style="17" min="7" max="7"/>
    <col width="12" customWidth="1" style="17" min="8" max="8"/>
  </cols>
  <sheetData>
    <row r="1" ht="15" customHeight="1" s="18">
      <c r="A1" s="24" t="inlineStr">
        <is>
          <t>Dátum</t>
        </is>
      </c>
      <c r="B1" s="24" t="inlineStr">
        <is>
          <t>Nap</t>
        </is>
      </c>
      <c r="C1" s="24" t="inlineStr">
        <is>
          <t>Cél</t>
        </is>
      </c>
      <c r="D1" s="24" t="inlineStr">
        <is>
          <t>Leszállítandó eredmény</t>
        </is>
      </c>
      <c r="E1" s="24" t="inlineStr">
        <is>
          <t>Hardver kell?</t>
        </is>
      </c>
      <c r="F1" s="24" t="inlineStr">
        <is>
          <t>Kapcsolódó S / M</t>
        </is>
      </c>
      <c r="G1" s="24" t="inlineStr">
        <is>
          <t>Kockázat, megjegyzés</t>
        </is>
      </c>
      <c r="H1" s="24" t="inlineStr">
        <is>
          <t>Státusz</t>
        </is>
      </c>
    </row>
    <row r="2" ht="34.5" customHeight="1" s="18">
      <c r="A2" s="25" t="inlineStr">
        <is>
          <t>2026-10-21</t>
        </is>
      </c>
      <c r="B2" s="25" t="inlineStr">
        <is>
          <t>Sze</t>
        </is>
      </c>
      <c r="C2" s="25" t="inlineStr">
        <is>
          <t>1. fejezet lezárása; fejlesztői környezet</t>
        </is>
      </c>
      <c r="D2" s="25" t="inlineStr">
        <is>
          <t>Dolgozat v0.6 (kész). ESP-IDF 5.5.5 telepítése és mindhárom projekt első buildje (M0). Hiányzik: J1979 PDF, címlapadatok, ISO-évek, Johnson/Ott oldalszámok.</t>
        </is>
      </c>
      <c r="E2" s="25" t="inlineStr">
        <is>
          <t>Nem</t>
        </is>
      </c>
      <c r="F2" s="25" t="inlineStr">
        <is>
          <t>M0</t>
        </is>
      </c>
      <c r="G2" s="25" t="inlineStr">
        <is>
          <t>A felhő-oldali fordítás nem működik (a PyPI nem érhető el), az első build a hallgató gépén fut. [2026-10-24] Az ESP-IDF 5.5.3 maradt (V-38); mindhárom projekt fordul.</t>
        </is>
      </c>
      <c r="H2" s="25" t="inlineStr">
        <is>
          <t>Kész</t>
        </is>
      </c>
    </row>
    <row r="3" ht="34.5" customHeight="1" s="18">
      <c r="A3" s="25" t="inlineStr">
        <is>
          <t>2026-10-22</t>
        </is>
      </c>
      <c r="B3" s="25" t="inlineStr">
        <is>
          <t>Cs</t>
        </is>
      </c>
      <c r="C3" s="25" t="inlineStr">
        <is>
          <t>CAN-oldal logika PC-n (1)</t>
        </is>
      </c>
      <c r="D3" s="25" t="inlineStr">
        <is>
          <t>Virtuális ECU (ecu_model) + FakeBus; ISO-TP állapotgép (SF/FF/CF/FC); obd_services; PC-s tesztek (VIN többkeretes, hibás keretek, időtúllépés). [2026-10-21: a két nap anyaga már PC-n elkészült és tesztelt.]</t>
        </is>
      </c>
      <c r="E3" s="25" t="inlineStr">
        <is>
          <t>Nem</t>
        </is>
      </c>
      <c r="F3" s="25" t="inlineStr">
        <is>
          <t>S-02, S-16 (olvasás), S-18, M6 logika</t>
        </is>
      </c>
      <c r="G3" s="25" t="inlineStr">
        <is>
          <t>A tiszta logika hardver nélkül teljesen tesztelhető.</t>
        </is>
      </c>
      <c r="H3" s="25" t="inlineStr">
        <is>
          <t>Kész</t>
        </is>
      </c>
    </row>
    <row r="4" ht="23.25" customHeight="1" s="18">
      <c r="A4" s="25" t="inlineStr">
        <is>
          <t>2026-10-23</t>
        </is>
      </c>
      <c r="B4" s="25" t="inlineStr">
        <is>
          <t>P</t>
        </is>
      </c>
      <c r="C4" s="25" t="inlineStr">
        <is>
          <t>CAN-oldal logika PC-n (2)</t>
        </is>
      </c>
      <c r="D4" s="25" t="inlineStr">
        <is>
          <t>PidScheduler + protokoll-felismerés a virtuális ECU-n állítható válaszidővel; TelemetryMsg összeállítás; terhelés mérése szimulációban. [2026-10-21: a két nap anyaga már PC-n elkészült és tesztelt.]</t>
        </is>
      </c>
      <c r="E4" s="25" t="inlineStr">
        <is>
          <t>Nem</t>
        </is>
      </c>
      <c r="F4" s="25" t="inlineStr">
        <is>
          <t>S-02, S-03</t>
        </is>
      </c>
      <c r="G4" s="25" t="inlineStr">
        <is>
          <t>A 79%-os terhelés-becslés itt szimulációban ellenőrizhető (valós ECU-idő nélkül).</t>
        </is>
      </c>
      <c r="H4" s="25" t="inlineStr">
        <is>
          <t>Kész</t>
        </is>
      </c>
    </row>
    <row r="5" ht="34.5" customHeight="1" s="18">
      <c r="A5" s="25" t="inlineStr">
        <is>
          <t>2026-10-24 – 25</t>
        </is>
      </c>
      <c r="B5" s="25" t="inlineStr">
        <is>
          <t>Szo–V</t>
        </is>
      </c>
      <c r="C5" s="25" t="inlineStr">
        <is>
          <t>Felület PC-n: LVGL fejetlen (headless) szimuláció</t>
        </is>
      </c>
      <c r="D5" s="25" t="inlineStr">
        <is>
          <t>A disp_ui és a Smoother ugyanazzal a kóddal PC-n fut; a képernyőt PNG-ként renderelem és megnézem; szintetikus telemetriával (RPM-lépcső, sebesség, MIL, „NINCS ADAT").</t>
        </is>
      </c>
      <c r="E5" s="25" t="inlineStr">
        <is>
          <t>Nem</t>
        </is>
      </c>
      <c r="F5" s="25" t="inlineStr">
        <is>
          <t>S-06, S-08, S-10</t>
        </is>
      </c>
      <c r="G5" s="25" t="inlineStr">
        <is>
          <t>Az LVGL forrás GitHubról tölthető. A tényleges megjelenés (színek, sebesség) csak a kijelzőn ellenőrizhető. [2026-10-25] Kihagyva: a kijelző és az LVGL közvetlenül a hardveren készült (M2, M3).</t>
        </is>
      </c>
      <c r="H5" s="25" t="inlineStr">
        <is>
          <t>Kihagyva</t>
        </is>
      </c>
    </row>
    <row r="6" ht="34.5" customHeight="1" s="18">
      <c r="A6" s="25" t="inlineStr">
        <is>
          <t>2026-10-26</t>
        </is>
      </c>
      <c r="B6" s="25" t="inlineStr">
        <is>
          <t>H</t>
        </is>
      </c>
      <c r="C6" s="25" t="inlineStr">
        <is>
          <t>Kapcsolat-logika és ESP-IDF illesztők</t>
        </is>
      </c>
      <c r="D6" s="25" t="inlineStr">
        <is>
          <t>obd_link / disp_link logika memóriabeli átvitellel (sorszám, elavulás, párosítás); az ESP-IDF illesztőkód (esp_now, TWAI, esp_lcd) megírva, fordítva a hallgató gépén. board_pins a fejlesztői panelhez.</t>
        </is>
      </c>
      <c r="E6" s="25" t="inlineStr">
        <is>
          <t>Nem</t>
        </is>
      </c>
      <c r="F6" s="25" t="inlineStr">
        <is>
          <t>S-04, S-07, S-20</t>
        </is>
      </c>
      <c r="G6" s="25" t="inlineStr">
        <is>
          <t>Itt derülnek ki az ESP-IDF 5.5.5 API-eltérések; a fordítási hibákat a hallgató visszaküldi. [2026-10-25] A TWAI- és az esp_lcd-illesztő kész; az ESP-NOW és a kapcsolat-logika hátra.</t>
        </is>
      </c>
      <c r="H6" s="25" t="inlineStr">
        <is>
          <t>Részben kész</t>
        </is>
      </c>
    </row>
    <row r="7" ht="23.25" customHeight="1" s="18">
      <c r="A7" s="25" t="inlineStr">
        <is>
          <t>2026-10-27 – 29</t>
        </is>
      </c>
      <c r="B7" s="25" t="inlineStr">
        <is>
          <t>K–Cs</t>
        </is>
      </c>
      <c r="C7" s="25" t="inlineStr">
        <is>
          <t>Hardveres napok (otthon): kijelző és ESP-NOW</t>
        </is>
      </c>
      <c r="D7" s="25" t="inlineStr">
        <is>
          <t>M2: panel bring-up (ST77916 init, háttérvilágítás). M3: LVGL a kijelzőn. M4: S2 tesztadó → S3 kijelző, csomagvesztés mérése.</t>
        </is>
      </c>
      <c r="E7" s="25" t="inlineStr">
        <is>
          <t>S3 + kijelző + S2</t>
        </is>
      </c>
      <c r="F7" s="25" t="inlineStr">
        <is>
          <t>S-05, S-06, S-07, S-22, M2–M4</t>
        </is>
      </c>
      <c r="G7" s="25" t="inlineStr">
        <is>
          <t>FŐ KOCKÁZAT: az ST77916 gyártói init-sorozat (Waveshare demókód kell). A dátum az otthonlét idejétől függ. [2026-10-25] M2 és M3 előrehozva és kész (H-19 megoldva); M4 (ESP-NOW) hátra.</t>
        </is>
      </c>
      <c r="H7" s="25" t="inlineStr">
        <is>
          <t>Részben kész</t>
        </is>
      </c>
    </row>
    <row r="8" ht="15" customHeight="1" s="18">
      <c r="A8" s="25" t="inlineStr">
        <is>
          <t>2026-10-30</t>
        </is>
      </c>
      <c r="B8" s="25" t="inlineStr">
        <is>
          <t>P</t>
        </is>
      </c>
      <c r="C8" s="25" t="inlineStr">
        <is>
          <t>Érintés, másodlagos nézet</t>
        </is>
      </c>
      <c r="D8" s="25" t="inlineStr">
        <is>
          <t>CST816S, képernyőváltás, másodlagos nézet (M5).</t>
        </is>
      </c>
      <c r="E8" s="25" t="inlineStr">
        <is>
          <t>S3 + kijelző</t>
        </is>
      </c>
      <c r="F8" s="25" t="inlineStr">
        <is>
          <t>S-09, S-10</t>
        </is>
      </c>
      <c r="G8" s="25" t="inlineStr">
        <is>
          <t>Ha az M2–M4 csúszik, ez átcsúszik november elejére.</t>
        </is>
      </c>
      <c r="H8" s="25" t="inlineStr">
        <is>
          <t>Tervezett</t>
        </is>
      </c>
    </row>
    <row r="9" ht="23.25" customHeight="1" s="18">
      <c r="A9" s="25" t="inlineStr">
        <is>
          <t>2026-10-31</t>
        </is>
      </c>
      <c r="B9" s="25" t="inlineStr">
        <is>
          <t>Szo</t>
        </is>
      </c>
      <c r="C9" s="25" t="inlineStr">
        <is>
          <t>Lezárás, mérések, tartalék</t>
        </is>
      </c>
      <c r="D9" s="25" t="inlineStr">
        <is>
          <t>Mérési jegyzőkönyv (képfrissítés, csomagvesztés), napló és dokumentáció frissítése, a 3. fejezet vázlatának egyeztetése a kóddal.</t>
        </is>
      </c>
      <c r="E9" s="25" t="inlineStr">
        <is>
          <t>Opcionális</t>
        </is>
      </c>
      <c r="F9" s="25" t="inlineStr">
        <is>
          <t>–</t>
        </is>
      </c>
      <c r="G9" s="25" t="inlineStr">
        <is>
          <t>Tartaléknap.</t>
        </is>
      </c>
      <c r="H9" s="25" t="inlineStr">
        <is>
          <t>Tervezett</t>
        </is>
      </c>
    </row>
    <row r="10" ht="34.5" customHeight="1" s="18">
      <c r="A10" s="25" t="inlineStr">
        <is>
          <t>Október után</t>
        </is>
      </c>
      <c r="B10" s="25" t="n"/>
      <c r="C10" s="25" t="inlineStr">
        <is>
          <t>Nem tervezett az október végéig</t>
        </is>
      </c>
      <c r="D10" s="25" t="inlineStr">
        <is>
          <t>Valós CAN-teszt (a CAN-modulok és a C3 megérkezése után), alvó üzemmód és BLE-ébresztés (S-12, S-13), médiavezérlés (S-14, S-15), autós mérés (M7), egyedi panelek (M8).</t>
        </is>
      </c>
      <c r="E10" s="25" t="inlineStr">
        <is>
          <t>Igen</t>
        </is>
      </c>
      <c r="F10" s="25" t="inlineStr">
        <is>
          <t>S-12…S-15, M7–M9</t>
        </is>
      </c>
      <c r="G10" s="25" t="inlineStr">
        <is>
          <t>A P3 funkciók valószínűleg kimaradnak; a dolgozatban továbbfejlesztési lehetőségként szerepelnek. [2026-10-24] Az asztali CAN-teszt (S2 ↔ C3) előrehozva, sikeres.</t>
        </is>
      </c>
      <c r="H10" s="25" t="inlineStr">
        <is>
          <t>Később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60" customWidth="1" style="17" min="2" max="2"/>
    <col width="22" customWidth="1" style="17" min="3" max="3"/>
    <col width="16" customWidth="1" style="17" min="4" max="4"/>
    <col width="50" customWidth="1" style="17" min="5" max="5"/>
    <col width="70" customWidth="1" style="17" min="6" max="6"/>
    <col width="26" customWidth="1" style="17" min="7" max="7"/>
  </cols>
  <sheetData>
    <row r="1" ht="23.25" customHeight="1" s="18">
      <c r="A1" s="24" t="inlineStr">
        <is>
          <t>Azonosító</t>
        </is>
      </c>
      <c r="B1" s="24" t="inlineStr">
        <is>
          <t>Forrás (az irodalomjegyzék szerint)</t>
        </is>
      </c>
      <c r="C1" s="24" t="inlineStr">
        <is>
          <t>Típus</t>
        </is>
      </c>
      <c r="D1" s="24" t="inlineStr">
        <is>
          <t>Hol hivatkozom (pont)</t>
        </is>
      </c>
      <c r="E1" s="24" t="inlineStr">
        <is>
          <t>Mire használom a dolgozatban</t>
        </is>
      </c>
      <c r="F1" s="24" t="inlineStr">
        <is>
          <t>Mit kell ellenőrizni / teendő</t>
        </is>
      </c>
      <c r="G1" s="24" t="inlineStr">
        <is>
          <t>Állapot</t>
        </is>
      </c>
    </row>
    <row r="2" ht="45.75" customHeight="1" s="18">
      <c r="A2" s="25" t="inlineStr">
        <is>
          <t>ao3401a</t>
        </is>
      </c>
      <c r="B2" s="25" t="inlineStr">
        <is>
          <t>ALPHA &amp; OMEGA SEMICONDUCTOR: AO3401A 30 V P-Channel Enhancement Mode MOSFET. Adatlap. https://aosmd.com/sites/default/files/res/data_sheets/AO3401A.pdf Megtekintés dátuma: [kitöltendő]</t>
        </is>
      </c>
      <c r="C2" s="25" t="inlineStr">
        <is>
          <t>Adatlap</t>
        </is>
      </c>
      <c r="D2" s="25" t="inlineStr">
        <is>
          <t>2.4.2, 2.7</t>
        </is>
      </c>
      <c r="E2" s="25" t="inlineStr">
        <is>
          <t>A P-FET kapcsolási adatai (R_DS(on), V_GS(th), lábkiosztás 1=G, 2=S, 3=D).</t>
        </is>
      </c>
      <c r="F2" s="25" t="inlineStr">
        <is>
          <t>Nyisd meg, nézd meg a V_GS(th) és R_DS(on) értékeket és a lábkiosztást; írd be a megtekintés dátumát.</t>
        </is>
      </c>
      <c r="G2" s="25" t="inlineStr">
        <is>
          <t>Megtekintési dátum: kitöltendő</t>
        </is>
      </c>
    </row>
    <row r="3" ht="23.25" customHeight="1" s="18">
      <c r="A3" s="25" t="inlineStr">
        <is>
          <t>bosch</t>
        </is>
      </c>
      <c r="B3" s="25" t="inlineStr">
        <is>
          <t>BOSCH, R.: CAN Specification, Version 2.0. Robert Bosch GmbH, Stuttgart, 1991.</t>
        </is>
      </c>
      <c r="C3" s="25" t="inlineStr">
        <is>
          <t>Szabvány-specifikáció</t>
        </is>
      </c>
      <c r="D3" s="25" t="inlineStr">
        <is>
          <t>1.2</t>
        </is>
      </c>
      <c r="E3" s="25" t="inlineStr">
        <is>
          <t>A CAN eredete és működése.</t>
        </is>
      </c>
      <c r="F3" s="25" t="inlineStr">
        <is>
          <t>Keress rá: „Bosch CAN Specification 2.0 pdf”. Ha nincs hozzáférésed, elég a TI ismertető (sloa101); ekkor ezt a tételt töröld a szövegből.</t>
        </is>
      </c>
      <c r="G3" s="25" t="inlineStr">
        <is>
          <t>Megtekintési dátum: kitöltendő</t>
        </is>
      </c>
    </row>
    <row r="4" ht="45.75" customHeight="1" s="18">
      <c r="A4" s="25" t="inlineStr">
        <is>
          <t>davis</t>
        </is>
      </c>
      <c r="B4" s="25" t="inlineStr">
        <is>
          <t>DAVIS, R. I. – BURNS, A. – BRIL, R. J. – LUKKIEN, J. J.: Controller Area Network (CAN) schedulability analysis: Refuted, revisited and revised. Real-Time Systems 35 (3) 2007. pp. 239–272. [Oldalszámok ellenőrzendők]</t>
        </is>
      </c>
      <c r="C4" s="25" t="inlineStr">
        <is>
          <t>Folyóiratcikk (idegen nyelvű)</t>
        </is>
      </c>
      <c r="D4" s="25" t="inlineStr">
        <is>
          <t>1.2</t>
        </is>
      </c>
      <c r="E4" s="25" t="inlineStr">
        <is>
          <t>A 8 bájtos CAN-keret legfeljebb kb. 135 bit hosszú bitbeszúrással.</t>
        </is>
      </c>
      <c r="F4" s="25" t="inlineStr">
        <is>
          <t>Keress rá: „Davis Burns Bril Lukkien Controller Area Network schedulability analysis refuted revisited revised”. Ellenőrizd a 135 bites értéket és az oldalszámokat.</t>
        </is>
      </c>
      <c r="G4" s="25" t="inlineStr">
        <is>
          <t>Megtekintési dátum: kitöltendő</t>
        </is>
      </c>
    </row>
    <row r="5" ht="34.5" customHeight="1" s="18">
      <c r="A5" s="25" t="inlineStr">
        <is>
          <t>elm327</t>
        </is>
      </c>
      <c r="B5" s="25" t="inlineStr">
        <is>
          <t>ELM ELECTRONICS: ELM327 OBD to RS232 Interpreter. Adatlap. https://cdn.sparkfun.com/assets/learn_tutorials/8/3/datasheet.pdf (másolat) Megtekintés dátuma: [kitöltendő]</t>
        </is>
      </c>
      <c r="C5" s="25" t="inlineStr">
        <is>
          <t>Adatlap</t>
        </is>
      </c>
      <c r="D5" s="25" t="inlineStr">
        <is>
          <t>1.3, 1.5</t>
        </is>
      </c>
      <c r="E5" s="25" t="inlineStr">
        <is>
          <t>Az ELM327 működése, protokolljai, soros sebessége.</t>
        </is>
      </c>
      <c r="F5" s="25" t="inlineStr">
        <is>
          <t>A gyártó (elmelectronics.com) saját datasheetjét keresd meg; ha megvan, cseréld a másolat linkjét a hivatalosra.</t>
        </is>
      </c>
      <c r="G5" s="25" t="inlineStr">
        <is>
          <t>Megtekintési dátum: kitöltendő</t>
        </is>
      </c>
    </row>
    <row r="6" ht="34.5" customHeight="1" s="18">
      <c r="A6" s="25" t="inlineStr">
        <is>
          <t>espidf</t>
        </is>
      </c>
      <c r="B6" s="25" t="inlineStr">
        <is>
          <t>ESPRESSIF SYSTEMS: ESP-IDF Programming Guide. https://docs.espressif.com/projects/esp-idf/ Megtekintés dátuma: [kitöltendő]</t>
        </is>
      </c>
      <c r="C6" s="25" t="inlineStr">
        <is>
          <t>Gyártói dokumentáció</t>
        </is>
      </c>
      <c r="D6" s="25" t="inlineStr">
        <is>
          <t>1.4, 2.2.1</t>
        </is>
      </c>
      <c r="E6" s="25" t="inlineStr">
        <is>
          <t>ESP-NOW működése, a 250 bájtos korlát, titkosított társak, koegzisztencia.</t>
        </is>
      </c>
      <c r="F6" s="25" t="inlineStr">
        <is>
          <t>Nyisd meg az ESP-NOW és a Coexistence oldalakat, ellenőrizd a 250 bájtot és a BLE-vel való korlátozást; kösd a használt ESP-IDF verzióhoz.</t>
        </is>
      </c>
      <c r="G6" s="25" t="inlineStr">
        <is>
          <t>Megtekintési dátum: kitöltendő</t>
        </is>
      </c>
    </row>
    <row r="7" ht="34.5" customHeight="1" s="18">
      <c r="A7" s="25" t="inlineStr">
        <is>
          <t>c3</t>
        </is>
      </c>
      <c r="B7" s="25" t="inlineStr">
        <is>
          <t>ESPRESSIF SYSTEMS: ESP32-C3-WROOM-02 Datasheet. https://www.espressif.com/sites/default/files/documentation/esp32-c3-wroom-02_datasheet_en.pdf Megtekintés dátuma: [kitöltendő]</t>
        </is>
      </c>
      <c r="C7" s="25" t="inlineStr">
        <is>
          <t>Adatlap</t>
        </is>
      </c>
      <c r="D7" s="25" t="inlineStr">
        <is>
          <t>1.4, 2.2.2, 2.3.4</t>
        </is>
      </c>
      <c r="E7" s="25" t="inlineStr">
        <is>
          <t>ESP32-C3 áramfelvétel: light sleep 130 µA, deep sleep 5 µA, modem sleep 16–28 mA; TWAI.</t>
        </is>
      </c>
      <c r="F7" s="25" t="inlineStr">
        <is>
          <t>A 6.4.2. és 6.4.1. szakaszok táblázatai. A link a gyártó oldalára irányít át (documentation.espressif.com), használd azt.</t>
        </is>
      </c>
      <c r="G7" s="25" t="inlineStr">
        <is>
          <t>Megtekintési dátum: kitöltendő</t>
        </is>
      </c>
    </row>
    <row r="8" ht="45.75" customHeight="1" s="18">
      <c r="A8" s="25" t="inlineStr">
        <is>
          <t>s3</t>
        </is>
      </c>
      <c r="B8" s="25" t="inlineStr">
        <is>
          <t>ESPRESSIF SYSTEMS: ESP32-S3-WROOM-1 and ESP32-S3-WROOM-1U Datasheet. https://www.espressif.com/sites/default/files/documentation/esp32-s3-wroom-1_wroom-1u_datasheet_en.pdf Megtekintés dátuma: [kitöltendő]</t>
        </is>
      </c>
      <c r="C8" s="25" t="inlineStr">
        <is>
          <t>Adatlap</t>
        </is>
      </c>
      <c r="D8" s="25" t="inlineStr">
        <is>
          <t>1.4, 2.2.2, 2.4</t>
        </is>
      </c>
      <c r="E8" s="25" t="inlineStr">
        <is>
          <t>ESP32-S3: nincs klasszikus Bluetooth, 8 MB PSRAM, light sleep / modem sleep áram.</t>
        </is>
      </c>
      <c r="F8" s="25" t="inlineStr">
        <is>
          <t>Ellenőrizd az áramfelvételi táblázatot és a PSRAM miatt korlátozott GPIO-k listáját.</t>
        </is>
      </c>
      <c r="G8" s="25" t="inlineStr">
        <is>
          <t>Megtekintési dátum: kitöltendő</t>
        </is>
      </c>
    </row>
    <row r="9" ht="45.75" customHeight="1" s="18">
      <c r="A9" s="25" t="inlineStr">
        <is>
          <t>esphdg</t>
        </is>
      </c>
      <c r="B9" s="25" t="inlineStr">
        <is>
          <t>ESPRESSIF SYSTEMS: ESP Hardware Design Guidelines – ESP32-S3, PCB Layout Design. https://docs.espressif.com/projects/esp-hardware-design-guidelines/en/latest/esp32s3/pcb-layout-design.html Megtekintés dátuma: [kitöltendő]</t>
        </is>
      </c>
      <c r="C9" s="25" t="inlineStr">
        <is>
          <t>Gyártói útmutató</t>
        </is>
      </c>
      <c r="D9" s="25" t="inlineStr">
        <is>
          <t>1.6, 2.5</t>
        </is>
      </c>
      <c r="E9" s="25" t="inlineStr">
        <is>
          <t>NYÁK-elrendezési ajánlás: 4 réteg, földsík, USB 90 Ω, antenna a kártya szélén.</t>
        </is>
      </c>
      <c r="F9" s="25" t="inlineStr">
        <is>
          <t>Az ESP32-S3 verzió PCB Layout Design oldala. Ellenőrizd az idézett számokat (15 mm, 90 Ω).</t>
        </is>
      </c>
      <c r="G9" s="25" t="inlineStr">
        <is>
          <t>Megtekintési dátum: kitöltendő</t>
        </is>
      </c>
    </row>
    <row r="10" ht="79.5" customHeight="1" s="18">
      <c r="A10" s="25" t="inlineStr">
        <is>
          <t>eu715</t>
        </is>
      </c>
      <c r="B10" s="25" t="inlineStr">
        <is>
          <t>EURÓPAI PARLAMENT ÉS TANÁCS: 715/2007/EK rendelet a személygépkocsik és könnyű haszongépjárművek kibocsátásának típusjóváhagyásáról (Euro 5 és Euro 6) és a javítási és karbantartási információkhoz való hozzáférésről (a 2012. június 4-i egységes szerkezetű angol szöveg). https://www.legislation.gov.uk/eur/2007/715/2012-06-04/data.html Megtekintés dátuma: [kitöltendő]</t>
        </is>
      </c>
      <c r="C10" s="25" t="inlineStr">
        <is>
          <t>Jogszabály</t>
        </is>
      </c>
      <c r="D10" s="25" t="inlineStr">
        <is>
          <t>1.1</t>
        </is>
      </c>
      <c r="E10" s="25" t="inlineStr">
        <is>
          <t>Az OBD definíciója (3. cikk 9.), a hozzáférés a javítási információkhoz (6. cikk), az alkalmazás kezdete.</t>
        </is>
      </c>
      <c r="F10" s="25" t="inlineStr">
        <is>
          <t>Magyar nyelvű változatot is megadhatsz az EUR-Lex-en (CELEX 32007R0715). Ellenőrizd a cikkszámokat.</t>
        </is>
      </c>
      <c r="G10" s="25" t="inlineStr">
        <is>
          <t>Megtekintési dátum: kitöltendő</t>
        </is>
      </c>
    </row>
    <row r="11" ht="23.25" customHeight="1" s="18">
      <c r="A11" s="25" t="inlineStr">
        <is>
          <t>iso11898</t>
        </is>
      </c>
      <c r="B11" s="25" t="inlineStr">
        <is>
          <t>ISO 11898-2: Road vehicles – Controller area network (CAN) – Part 2: High-speed medium access unit. Kiadás éve: [kitöltendő]</t>
        </is>
      </c>
      <c r="C11" s="25" t="inlineStr">
        <is>
          <t>Szabvány</t>
        </is>
      </c>
      <c r="D11" s="25" t="inlineStr">
        <is>
          <t>1.2</t>
        </is>
      </c>
      <c r="E11" s="25" t="inlineStr">
        <is>
          <t>A CAN fizikai rétege.</t>
        </is>
      </c>
      <c r="F11" s="25" t="inlineStr">
        <is>
          <t>Az egyetemi könyvtárban (MSZ szabvány) vagy az ISO oldalán nézd meg; ha csak a TI ismertető érhető el, a szöveget a szabvány címének említésével hagyd.</t>
        </is>
      </c>
      <c r="G11" s="25" t="inlineStr">
        <is>
          <t>Megtekintési dátum: kitöltendő</t>
        </is>
      </c>
    </row>
    <row r="12" ht="34.5" customHeight="1" s="18">
      <c r="A12" s="25" t="inlineStr">
        <is>
          <t>iso15765</t>
        </is>
      </c>
      <c r="B12" s="25" t="inlineStr">
        <is>
          <t>ISO 15765-4: Road vehicles – Diagnostic communication over Controller Area Network (DoCAN) – Part 4: Requirements for emissions-related systems. Kiadás éve: [kitöltendő]</t>
        </is>
      </c>
      <c r="C12" s="25" t="inlineStr">
        <is>
          <t>Szabvány</t>
        </is>
      </c>
      <c r="D12" s="25" t="inlineStr">
        <is>
          <t>1.3, 2.3.3</t>
        </is>
      </c>
      <c r="E12" s="25" t="inlineStr">
        <is>
          <t>500/250 kbit/s, 11/29 bit, címzés, P2 = 50 ms.</t>
        </is>
      </c>
      <c r="F12" s="25" t="inlineStr">
        <is>
          <t>Ezt a szabványt nehéz megszerezni; az egyetemi könyvtár vagy egy másodlagos forrás (pl. CSS Electronics, Vector ISO-TP/OBD2 leírás) segíthet. A P2 időzítés pontos értékét ellenőrizd.</t>
        </is>
      </c>
      <c r="G12" s="25" t="inlineStr">
        <is>
          <t>Megtekintési dátum: kitöltendő</t>
        </is>
      </c>
    </row>
    <row r="13" ht="34.5" customHeight="1" s="18">
      <c r="A13" s="25" t="inlineStr">
        <is>
          <t>iso15765_2</t>
        </is>
      </c>
      <c r="B13" s="25" t="inlineStr">
        <is>
          <t>ISO 15765-2: Road vehicles – Diagnostic communication over Controller Area Network (DoCAN) – Part 2: Transport protocol and network layer services. Kiadás éve: [kitöltendő]</t>
        </is>
      </c>
      <c r="C13" s="25" t="inlineStr">
        <is>
          <t>Szabvány</t>
        </is>
      </c>
      <c r="D13" s="25" t="inlineStr">
        <is>
          <t>1.3</t>
        </is>
      </c>
      <c r="E13" s="25" t="inlineStr">
        <is>
          <t>ISO-TP: Single/First/Consecutive/Flow Control kerettípusok.</t>
        </is>
      </c>
      <c r="F13" s="25" t="inlineStr">
        <is>
          <t>Mint az ISO 15765-4; a kerettípusokat több ingyenes leírásban (Wikipédia nem tudományos, ezért csak kiegészítésként) is megtalálod.</t>
        </is>
      </c>
      <c r="G13" s="25" t="inlineStr">
        <is>
          <t>Megtekintési dátum: kitöltendő</t>
        </is>
      </c>
    </row>
    <row r="14" ht="23.25" customHeight="1" s="18">
      <c r="A14" s="25" t="inlineStr">
        <is>
          <t>iso3779</t>
        </is>
      </c>
      <c r="B14" s="25" t="inlineStr">
        <is>
          <t>ISO 3779: Road vehicles – Vehicle identification number (VIN) – Content and structure. Kiadás éve: [kitöltendő]</t>
        </is>
      </c>
      <c r="C14" s="25" t="inlineStr">
        <is>
          <t>Szabvány</t>
        </is>
      </c>
      <c r="D14" s="25" t="inlineStr">
        <is>
          <t>1.3</t>
        </is>
      </c>
      <c r="E14" s="25" t="inlineStr">
        <is>
          <t>A VIN felépítése, WMI = első 3 karakter.</t>
        </is>
      </c>
      <c r="F14" s="25" t="inlineStr">
        <is>
          <t>Szabvány, vagy másodlagos forrás a WMI-listáról.</t>
        </is>
      </c>
      <c r="G14" s="25" t="inlineStr">
        <is>
          <t>Megtekintési dátum: kitöltendő</t>
        </is>
      </c>
    </row>
    <row r="15" ht="34.5" customHeight="1" s="18">
      <c r="A15" s="25" t="inlineStr">
        <is>
          <t>jlcpcb</t>
        </is>
      </c>
      <c r="B15" s="25" t="inlineStr">
        <is>
          <t>JLCPCB: PCB Manufacturing &amp; Assembly Capabilities. https://jlcpcb.com/capabilities/pcb-capabilities Megtekintés dátuma: [kitöltendő]</t>
        </is>
      </c>
      <c r="C15" s="25" t="inlineStr">
        <is>
          <t>Gyártói oldal</t>
        </is>
      </c>
      <c r="D15" s="25" t="inlineStr">
        <is>
          <t>1.6, 2.5, 2.7</t>
        </is>
      </c>
      <c r="E15" s="25" t="inlineStr">
        <is>
          <t>Gyártási paraméterek, a rendelés utólagos módosíthatatlansága.</t>
        </is>
      </c>
      <c r="F15" s="25" t="inlineStr">
        <is>
          <t>Ellenőrizd az oldal tartalmát; a rendelés módosítási szabályát a JLCPCB-vel váltott levelezésből is dokumentálhatod (melléklet).</t>
        </is>
      </c>
      <c r="G15" s="25" t="inlineStr">
        <is>
          <t>Megtekintési dátum: kitöltendő</t>
        </is>
      </c>
    </row>
    <row r="16" ht="34.5" customHeight="1" s="18">
      <c r="A16" s="25" t="inlineStr">
        <is>
          <t>johnson</t>
        </is>
      </c>
      <c r="B16" s="25" t="inlineStr">
        <is>
          <t>JOHNSON, H. – GRAHAM, M.: High-Speed Digital Design: A Handbook of Black Magic. Prentice Hall, Upper Saddle River, 1993. [Hivatkozott oldalak kitöltendők]</t>
        </is>
      </c>
      <c r="C16" s="25" t="inlineStr">
        <is>
          <t>Szakkönyv</t>
        </is>
      </c>
      <c r="D16" s="25" t="inlineStr">
        <is>
          <t>1.6</t>
        </is>
      </c>
      <c r="E16" s="25" t="inlineStr">
        <is>
          <t>Visszatérő áram, hurokinduktivitás, elektromosan hosszú vezeték (t_pd &gt; t_r/6).</t>
        </is>
      </c>
      <c r="F16" s="25" t="inlineStr">
        <is>
          <t>Könyvtárból kérd el, keresd meg a fejezetet a földsíkról / transmission line-okról, és írd be a pontos oldalszámot.</t>
        </is>
      </c>
      <c r="G16" s="25" t="inlineStr">
        <is>
          <t>Megtekintési dátum: kitöltendő</t>
        </is>
      </c>
    </row>
    <row r="17" ht="57" customHeight="1" s="18">
      <c r="A17" s="25" t="inlineStr">
        <is>
          <t>tp4056</t>
        </is>
      </c>
      <c r="B17" s="25" t="inlineStr">
        <is>
          <t>NANJING TOP POWER ASIC CORP.: TP4056 1A Standalone Linear Li-Ion Battery Charger. Adatlap. https://www.mikrocontroller.net/attachment/273612/TP4056.pdf (harmadik fél által tárolt másolat; gyártói oldal nem található) Megtekintés dátuma: [kitöltendő]</t>
        </is>
      </c>
      <c r="C17" s="25" t="inlineStr">
        <is>
          <t>Adatlap</t>
        </is>
      </c>
      <c r="D17" s="25" t="inlineStr">
        <is>
          <t>2.4.2</t>
        </is>
      </c>
      <c r="E17" s="25" t="inlineStr">
        <is>
          <t>Töltőáram: I = 1200 / R_PROG, töltésbefejezés I_BAT &lt; I_CHG/10.</t>
        </is>
      </c>
      <c r="F17" s="25" t="inlineStr">
        <is>
          <t>A gyártó (NanJing Top Power) oldalát keresd; a link harmadik fél másolatára mutat.</t>
        </is>
      </c>
      <c r="G17" s="25" t="inlineStr">
        <is>
          <t>Megtekintési dátum: kitöltendő</t>
        </is>
      </c>
    </row>
    <row r="18" ht="23.25" customHeight="1" s="18">
      <c r="A18" s="25" t="inlineStr">
        <is>
          <t>ott</t>
        </is>
      </c>
      <c r="B18" s="25" t="inlineStr">
        <is>
          <t>OTT, H. W.: Electromagnetic Compatibility Engineering. John Wiley &amp; Sons, Hoboken, 2009. [Hivatkozott oldalak kitöltendők]</t>
        </is>
      </c>
      <c r="C18" s="25" t="inlineStr">
        <is>
          <t>Szakkönyv</t>
        </is>
      </c>
      <c r="D18" s="25" t="inlineStr">
        <is>
          <t>1.6</t>
        </is>
      </c>
      <c r="E18" s="25" t="inlineStr">
        <is>
          <t>Visszatérő áram nagy frekvencián, EMC-elvek.</t>
        </is>
      </c>
      <c r="F18" s="25" t="inlineStr">
        <is>
          <t>Mint a Johnson könyvnél: fejezet és oldalszám.</t>
        </is>
      </c>
      <c r="G18" s="25" t="inlineStr">
        <is>
          <t>Megtekintési dátum: kitöltendő</t>
        </is>
      </c>
    </row>
    <row r="19" ht="23.25" customHeight="1" s="18">
      <c r="A19" s="25" t="inlineStr">
        <is>
          <t>saej1962</t>
        </is>
      </c>
      <c r="B19" s="25" t="inlineStr">
        <is>
          <t>SAE INTERNATIONAL: SAE J1962 – Diagnostic Connector. [Kiadás éve és elérhetőség kitöltendő]</t>
        </is>
      </c>
      <c r="C19" s="25" t="inlineStr">
        <is>
          <t>Szabvány</t>
        </is>
      </c>
      <c r="D19" s="25" t="inlineStr">
        <is>
          <t>1.1</t>
        </is>
      </c>
      <c r="E19" s="25" t="inlineStr">
        <is>
          <t>J1962 csatlakozó lábkiosztása (6 = CANH, 14 = CANL, 16 = akkumulátor).</t>
        </is>
      </c>
      <c r="F19" s="25" t="inlineStr">
        <is>
          <t>Szabvány vagy hivatalos ábra; a lábkiosztást több gyártói leírás is mutatja, ellenőrizd.</t>
        </is>
      </c>
      <c r="G19" s="25" t="inlineStr">
        <is>
          <t>Megtekintési dátum: kitöltendő</t>
        </is>
      </c>
    </row>
    <row r="20" ht="23.25" customHeight="1" s="18">
      <c r="A20" s="25" t="inlineStr">
        <is>
          <t>saej1979</t>
        </is>
      </c>
      <c r="B20" s="25" t="inlineStr">
        <is>
          <t>SAE INTERNATIONAL: SAE J1979 – E/E Diagnostic Test Modes. [Kiadás éve és elérhetőség kitöltendő]</t>
        </is>
      </c>
      <c r="C20" s="25" t="inlineStr">
        <is>
          <t>Szabvány</t>
        </is>
      </c>
      <c r="D20" s="25" t="inlineStr">
        <is>
          <t>1.3</t>
        </is>
      </c>
      <c r="E20" s="25" t="inlineStr">
        <is>
          <t>Mode 01 PID-ek és képleteik.</t>
        </is>
      </c>
      <c r="F20" s="25" t="inlineStr">
        <is>
          <t>A PID-képletek ellenőrzése szabványból vagy megbízható másodlagos forrásból.</t>
        </is>
      </c>
      <c r="G20" s="25" t="inlineStr">
        <is>
          <t>Megtekintési dátum: kitöltendő</t>
        </is>
      </c>
    </row>
    <row r="21" ht="34.5" customHeight="1" s="18">
      <c r="A21" s="25" t="inlineStr">
        <is>
          <t>sloa101</t>
        </is>
      </c>
      <c r="B21" s="25" t="inlineStr">
        <is>
          <t>TEXAS INSTRUMENTS: Introduction to the Controller Area Network (CAN). Application Report SLOA101. https://www.ti.com/lit/SLOA101 Megtekintés dátuma: [kitöltendő]</t>
        </is>
      </c>
      <c r="C21" s="25" t="inlineStr">
        <is>
          <t>Alkalmazási ismertető (TI)</t>
        </is>
      </c>
      <c r="D21" s="25" t="inlineStr">
        <is>
          <t>1.2</t>
        </is>
      </c>
      <c r="E21" s="25" t="inlineStr">
        <is>
          <t>CAN jelszintek, arbitráció, keretmezők, bitbeszúrás, hibakezelés, lezárás.</t>
        </is>
      </c>
      <c r="F21" s="25" t="inlineStr">
        <is>
          <t>A tartalmat a SLOA101A szövegéből ellenőriztem; a hivatkozás a mostani B változatra mutat, nézd meg, hogy a szöveg ott is megegyezik-e.</t>
        </is>
      </c>
      <c r="G21" s="25" t="inlineStr">
        <is>
          <t>Megtekintési dátum: kitöltendő</t>
        </is>
      </c>
    </row>
    <row r="22" ht="45.75" customHeight="1" s="18">
      <c r="A22" s="25" t="inlineStr">
        <is>
          <t>lmr36006</t>
        </is>
      </c>
      <c r="B22" s="25" t="inlineStr">
        <is>
          <t>TEXAS INSTRUMENTS: LMR36006 adatlap, Layout Guidelines (SNVSB48C). https://www.ti.com/document-viewer/lit/html/SNVSB48C/layout-guidelines-snvsay71410 Megtekintés dátuma: [kitöltendő]</t>
        </is>
      </c>
      <c r="C22" s="25" t="inlineStr">
        <is>
          <t>Adatlap (elrendezési fejezet)</t>
        </is>
      </c>
      <c r="D22" s="25" t="inlineStr">
        <is>
          <t>1.6</t>
        </is>
      </c>
      <c r="E22" s="25" t="inlineStr">
        <is>
          <t>Buck konverter elrendezési szabályai (forró hurok, SW-csomópont, FB).</t>
        </is>
      </c>
      <c r="F22" s="25" t="inlineStr">
        <is>
          <t>Az LMR36006 adatlap Layout fejezete; a szabályok a TPS54302-re is alkalmazhatók, ezt jelezd, és ha lehet, a TPS54302 saját layout fejezetét is említsd.</t>
        </is>
      </c>
      <c r="G22" s="25" t="inlineStr">
        <is>
          <t>Megtekintési dátum: kitöltendő</t>
        </is>
      </c>
    </row>
    <row r="23" ht="45.75" customHeight="1" s="18">
      <c r="A23" s="25" t="inlineStr">
        <is>
          <t>sn65</t>
        </is>
      </c>
      <c r="B23" s="25" t="inlineStr">
        <is>
          <t>TEXAS INSTRUMENTS: SN65HVD230, SN65HVD231, SN65HVD232 3.3-V CAN Transceivers (SLOS346O, 2018. április). Adatlap. https://www.ti.com/document-viewer/SN65HVD230/datasheet Megtekintés dátuma: [kitöltendő]</t>
        </is>
      </c>
      <c r="C23" s="25" t="inlineStr">
        <is>
          <t>Adatlap</t>
        </is>
      </c>
      <c r="D23" s="25" t="inlineStr">
        <is>
          <t>2.3.3</t>
        </is>
      </c>
      <c r="E23" s="25" t="inlineStr">
        <is>
          <t>Üzemmódok: standby/sleep, vevő viselkedése, lábkiosztás.</t>
        </is>
      </c>
      <c r="F23" s="25" t="inlineStr">
        <is>
          <t>SLOS346O: nézd át az RS láb táblázatát; hogy az SN65HVD231 alvó módjában a vevő kikapcsol.</t>
        </is>
      </c>
      <c r="G23" s="25" t="inlineStr">
        <is>
          <t>Megtekintési dátum: kitöltendő</t>
        </is>
      </c>
    </row>
    <row r="24" ht="34.5" customHeight="1" s="18">
      <c r="A24" s="25" t="inlineStr">
        <is>
          <t>tlv</t>
        </is>
      </c>
      <c r="B24" s="25" t="inlineStr">
        <is>
          <t>TEXAS INSTRUMENTS: TLV757P 1-A, Low-IQ, Small-Size, Low-Dropout Voltage Regulator. Adatlap. https://www.ti.com/product/TLV757P Megtekintés dátuma: [kitöltendő]</t>
        </is>
      </c>
      <c r="C24" s="25" t="inlineStr">
        <is>
          <t>Adatlap</t>
        </is>
      </c>
      <c r="D24" s="25" t="inlineStr">
        <is>
          <t>2.4.3</t>
        </is>
      </c>
      <c r="E24" s="25" t="inlineStr">
        <is>
          <t>TLV75733: 1 A, kiesés ≈ 200 mV @ 1 A.</t>
        </is>
      </c>
      <c r="F24" s="25" t="inlineStr">
        <is>
          <t>Ellenőrizd a kiesési feszültség és a hőellenállás (θ_JA) adatokat.</t>
        </is>
      </c>
      <c r="G24" s="25" t="inlineStr">
        <is>
          <t>Megtekintési dátum: kitöltendő</t>
        </is>
      </c>
    </row>
    <row r="25" ht="34.5" customHeight="1" s="18">
      <c r="A25" s="25" t="inlineStr">
        <is>
          <t>tps54302</t>
        </is>
      </c>
      <c r="B25" s="25" t="inlineStr">
        <is>
          <t>TEXAS INSTRUMENTS: TPS54302 4.5-V to 28-V Input, 3-A Output, EMI Friendly Synchronous Step-Down Converter. Adatlap. https://www.ti.com/product/TPS54302 Megtekintés dátuma: [kitöltendő]</t>
        </is>
      </c>
      <c r="C25" s="25" t="inlineStr">
        <is>
          <t>Adatlap</t>
        </is>
      </c>
      <c r="D25" s="25" t="inlineStr">
        <is>
          <t>2.3.2, 2.3.1</t>
        </is>
      </c>
      <c r="E25" s="25" t="inlineStr">
        <is>
          <t>Vref = 0,596 V, 400 kHz, bemeneti feszültségtartomány és abszolút maximum.</t>
        </is>
      </c>
      <c r="F25" s="25" t="inlineStr">
        <is>
          <t>Ellenőrizd a V_ref értékét és az abszolút maximális bemeneti feszültséget (TVS-méretezés).</t>
        </is>
      </c>
      <c r="G25" s="25" t="inlineStr">
        <is>
          <t>Megtekintési dátum: kitöltendő</t>
        </is>
      </c>
    </row>
    <row r="26" ht="34.5" customHeight="1" s="18">
      <c r="A26" s="25" t="inlineStr">
        <is>
          <t>waveshare</t>
        </is>
      </c>
      <c r="B26" s="25" t="inlineStr">
        <is>
          <t>WAVESHARE: 1.85inch Touch LCD Module (SKU 35079). https://docs.waveshare.com/1.85inch_Touch_LCD_Module Megtekintés dátuma: [kitöltendő]</t>
        </is>
      </c>
      <c r="C26" s="25" t="inlineStr">
        <is>
          <t>Gyártói dokumentáció</t>
        </is>
      </c>
      <c r="D26" s="25" t="inlineStr">
        <is>
          <t>2.4.1</t>
        </is>
      </c>
      <c r="E26" s="25" t="inlineStr">
        <is>
          <t>A kijelzőmodul adatai, FPC-kiosztás, vezérlők.</t>
        </is>
      </c>
      <c r="F26" s="25" t="inlineStr">
        <is>
          <t>A kiosztást vesd össze a J2-vel (16–18. láb), az I²C-címet és a felhúzókat nézd meg a kapcsolási rajzon.</t>
        </is>
      </c>
      <c r="G26" s="25" t="inlineStr">
        <is>
          <t>Megtekintési dátum: kitöltendő</t>
        </is>
      </c>
    </row>
    <row r="27" ht="23.25" customHeight="1" s="18">
      <c r="A27" s="25" t="inlineStr">
        <is>
          <t>F-01</t>
        </is>
      </c>
      <c r="B27" s="25" t="inlineStr">
        <is>
          <t>OBD-II (kaliforniai szabályozás, 1996) és az EOBD európai bevezetése</t>
        </is>
      </c>
      <c r="C27" s="25" t="inlineStr">
        <is>
          <t>Hivatalos forrás</t>
        </is>
      </c>
      <c r="D27" s="25" t="inlineStr">
        <is>
          <t>1.1</t>
        </is>
      </c>
      <c r="E27" s="25" t="inlineStr">
        <is>
          <t>Még hiányzó forrás ([FORRÁS KELL])</t>
        </is>
      </c>
      <c r="F27" s="25" t="inlineStr">
        <is>
          <t>Keress rá: „Directive 98/69/EC EOBD” és „CARB OBD II 1996 regulation”. A cél: a dátumok és a kötelezővé tétel hivatalos alátámasztása.</t>
        </is>
      </c>
      <c r="G27" s="25" t="inlineStr">
        <is>
          <t>kitöltendő</t>
        </is>
      </c>
    </row>
    <row r="28" ht="34.5" customHeight="1" s="18">
      <c r="A28" s="25" t="inlineStr">
        <is>
          <t>F-02</t>
        </is>
      </c>
      <c r="B28" s="25" t="inlineStr">
        <is>
          <t>A CAN kötelezővé tétele az USA-ban és az EU-ban</t>
        </is>
      </c>
      <c r="C28" s="25" t="inlineStr">
        <is>
          <t>Hivatalos forrás</t>
        </is>
      </c>
      <c r="D28" s="25" t="inlineStr">
        <is>
          <t>1.1</t>
        </is>
      </c>
      <c r="E28" s="25" t="inlineStr">
        <is>
          <t>Még hiányzó forrás ([FORRÁS KELL])</t>
        </is>
      </c>
      <c r="F28" s="25" t="inlineStr">
        <is>
          <t>Részben: a szöveg az ISO 15765-4 1. pontjára épül (jogszabály szerinti OBD); a kötelezővé tétel éveit a szöveg már nem állítja. Igény esetén: Bizottsági rendelet 692/2008.</t>
        </is>
      </c>
      <c r="G28" s="25" t="inlineStr">
        <is>
          <t>részben</t>
        </is>
      </c>
    </row>
    <row r="29" ht="23.25" customHeight="1" s="18">
      <c r="A29" s="25" t="inlineStr">
        <is>
          <t>F-03</t>
        </is>
      </c>
      <c r="B29" s="25" t="inlineStr">
        <is>
          <t>ISO 15765-4: sebességek (250/500 kbit/s) és a P2 válaszidő</t>
        </is>
      </c>
      <c r="C29" s="25" t="inlineStr">
        <is>
          <t>Szabvány vagy másodlagos forrás</t>
        </is>
      </c>
      <c r="D29" s="25" t="inlineStr">
        <is>
          <t>1.2, 1.3</t>
        </is>
      </c>
      <c r="E29" s="25" t="inlineStr">
        <is>
          <t>Még hiányzó forrás ([FORRÁS KELL])</t>
        </is>
      </c>
      <c r="F29" s="25" t="inlineStr">
        <is>
          <t>Sebességek és azonosítók: ISO 15765-4 (2005. kiadás) 8.2 és 6.3.2 pont, ellenőrizve. A P2 = 50 ms az SAE J1979-2 12. táblázatából ellenőrizve (F-07); az ISO 15031-5 / klasszikus J1979 megfelelő pontja még nincs ellenőrizve.</t>
        </is>
      </c>
      <c r="G29" s="25" t="inlineStr">
        <is>
          <t>részben</t>
        </is>
      </c>
    </row>
    <row r="30" ht="34.5" customHeight="1" s="18">
      <c r="A30" s="25" t="inlineStr">
        <is>
          <t>F-04</t>
        </is>
      </c>
      <c r="B30" s="25" t="inlineStr">
        <is>
          <t>Bluetooth LE és klasszikus Bluetooth: csatlakozási időköz, adatméret; ELM327 BT adapterek SPP-t használnak</t>
        </is>
      </c>
      <c r="C30" s="25" t="inlineStr">
        <is>
          <t>Specifikáció és termékleírás</t>
        </is>
      </c>
      <c r="D30" s="25" t="inlineStr">
        <is>
          <t>1.4</t>
        </is>
      </c>
      <c r="E30" s="25" t="inlineStr">
        <is>
          <t>Még hiányzó forrás ([FORRÁS KELL])</t>
        </is>
      </c>
      <c r="F30" s="25" t="inlineStr">
        <is>
          <t>Keress rá: „Bluetooth Core Specification connection interval 7.5 ms”, „ELM327 Bluetooth adapter SPP”. A cél: a 2. táblázat számainak és a „klasszikus Bluetooth” állításnak az ellenőrzése.</t>
        </is>
      </c>
      <c r="G30" s="25" t="inlineStr">
        <is>
          <t>kitöltendő</t>
        </is>
      </c>
    </row>
    <row r="31" ht="34.5" customHeight="1" s="18">
      <c r="A31" s="25" t="inlineStr">
        <is>
          <t>F-05</t>
        </is>
      </c>
      <c r="B31" s="25" t="inlineStr">
        <is>
          <t>Piaci megoldások (ELM327-adapterek, HUD-kijelzők)</t>
        </is>
      </c>
      <c r="C31" s="25" t="inlineStr">
        <is>
          <t>Termékoldalak, cikk</t>
        </is>
      </c>
      <c r="D31" s="25" t="inlineStr">
        <is>
          <t>1.5</t>
        </is>
      </c>
      <c r="E31" s="25" t="inlineStr">
        <is>
          <t>Még hiányzó forrás ([FORRÁS KELL])</t>
        </is>
      </c>
      <c r="F31" s="25" t="inlineStr">
        <is>
          <t>Az OBDLink MX termékoldal beépítve ([@obdlink]): Bluetooth 3.0, SPP, ELM327-parancskészlet, iOS nem támogatott. További termék opcionális.</t>
        </is>
      </c>
      <c r="G31" s="25" t="inlineStr">
        <is>
          <t>részben</t>
        </is>
      </c>
    </row>
    <row r="32" ht="23.25" customHeight="1" s="18">
      <c r="A32" s="25" t="inlineStr">
        <is>
          <t>F-06</t>
        </is>
      </c>
      <c r="B32" s="25" t="inlineStr">
        <is>
          <t>Kijelző- és akkumulátoradatok (LP803040 cella, védelem)</t>
        </is>
      </c>
      <c r="C32" s="25" t="inlineStr">
        <is>
          <t>Gyártói adatlap</t>
        </is>
      </c>
      <c r="D32" s="25" t="inlineStr">
        <is>
          <t>2.4.2, 2.6</t>
        </is>
      </c>
      <c r="E32" s="25" t="inlineStr">
        <is>
          <t>Még hiányzó forrás ([FORRÁS KELL])</t>
        </is>
      </c>
      <c r="F32" s="25" t="inlineStr">
        <is>
          <t>A kiválasztott cella adatlapja: névleges kapacitás, védelem, megengedett töltőáram. A cél: a 3.4. pont és az 5.1–5.2. pont állításainak alátámasztása.</t>
        </is>
      </c>
      <c r="G32" s="25" t="inlineStr">
        <is>
          <t>kitöltendő</t>
        </is>
      </c>
    </row>
    <row r="33" ht="34.5" customHeight="1" s="18">
      <c r="A33" s="25" t="inlineStr">
        <is>
          <t>F-07</t>
        </is>
      </c>
      <c r="B33" s="25" t="inlineStr">
        <is>
          <t>SAE J1979-2 – E/E Diagnostic Test Modes: OBDonUDS (2026)</t>
        </is>
      </c>
      <c r="C33" s="25" t="inlineStr">
        <is>
          <t>Szabvány (részleges másolat, 32/105 oldal)</t>
        </is>
      </c>
      <c r="D33" s="25" t="inlineStr">
        <is>
          <t>1.3</t>
        </is>
      </c>
      <c r="E33" s="25" t="inlineStr">
        <is>
          <t>P2 = 50 ms és P2* = 5000 ms (12. táblázat); a J1979 és J1979-2 kizárják egymást; protokoll-felismerés (4. ábra); szolgáltatás-megfeleltetés (3. táblázat)</t>
        </is>
      </c>
      <c r="F33" s="25" t="inlineStr">
        <is>
          <t>Ellenőrizve a feltöltött részleges másolatból. A klasszikus J1979 PID-képleteit és a 09-es mód VIN-formátumát ez NEM tartalmazza: ahhoz a klasszikus J1979 szükséges (Q-29).</t>
        </is>
      </c>
      <c r="G33" s="25" t="inlineStr">
        <is>
          <t>ellenőrizve (részben)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17" min="1" max="1"/>
    <col width="28" customWidth="1" style="17" min="2" max="2"/>
    <col width="70" customWidth="1" style="17" min="3" max="3"/>
  </cols>
  <sheetData>
    <row r="1" ht="30" customHeight="1" s="18">
      <c r="A1" s="24" t="inlineStr">
        <is>
          <t>Javasolt magyar kifejezés</t>
        </is>
      </c>
      <c r="B1" s="24" t="inlineStr">
        <is>
          <t>Mellőzendő / angol</t>
        </is>
      </c>
      <c r="C1" s="24" t="inlineStr">
        <is>
          <t>Megjegyzés</t>
        </is>
      </c>
    </row>
    <row r="2" ht="23.25" customHeight="1" s="18">
      <c r="A2" s="25" t="inlineStr">
        <is>
          <t>OBD-adapter</t>
        </is>
      </c>
      <c r="B2" s="25" t="inlineStr">
        <is>
          <t>dongle</t>
        </is>
      </c>
      <c r="C2" s="25" t="inlineStr">
        <is>
          <t>OBD-II csatlakozóba dugható adatgyűjtő egység; a dolgozatban végig 'OBD-csomópont' vagy 'OBD-adapter'.</t>
        </is>
      </c>
    </row>
    <row r="3" ht="15" customHeight="1" s="18">
      <c r="A3" s="25" t="inlineStr">
        <is>
          <t>csomópont</t>
        </is>
      </c>
      <c r="B3" s="25" t="inlineStr">
        <is>
          <t>node</t>
        </is>
      </c>
      <c r="C3" s="25" t="inlineStr">
        <is>
          <t>A két egység neve: OBD-csomópont, kijelző-csomópont.</t>
        </is>
      </c>
    </row>
    <row r="4" ht="15" customHeight="1" s="18">
      <c r="A4" s="25" t="inlineStr">
        <is>
          <t>nyomtatott áramköri lap (NYÁK)</t>
        </is>
      </c>
      <c r="B4" s="25" t="inlineStr">
        <is>
          <t>PCB, panel, lap</t>
        </is>
      </c>
      <c r="C4" s="25" t="inlineStr">
        <is>
          <t>Első említéskor kiírva, utána NYÁK.</t>
        </is>
      </c>
    </row>
    <row r="5" ht="15" customHeight="1" s="18">
      <c r="A5" s="25" t="inlineStr">
        <is>
          <t>kapcsolási rajz</t>
        </is>
      </c>
      <c r="B5" s="25" t="inlineStr">
        <is>
          <t>schematic</t>
        </is>
      </c>
      <c r="C5" s="25" t="inlineStr">
        <is>
          <t>–</t>
        </is>
      </c>
    </row>
    <row r="6" ht="15" customHeight="1" s="18">
      <c r="A6" s="25" t="inlineStr">
        <is>
          <t>alkatrészjegyzék</t>
        </is>
      </c>
      <c r="B6" s="25" t="inlineStr">
        <is>
          <t>BOM</t>
        </is>
      </c>
      <c r="C6" s="25" t="inlineStr">
        <is>
          <t>Első említéskor zárójelben: (BOM).</t>
        </is>
      </c>
    </row>
    <row r="7" ht="15" customHeight="1" s="18">
      <c r="A7" s="25" t="inlineStr">
        <is>
          <t>mikrovezérlő</t>
        </is>
      </c>
      <c r="B7" s="25" t="inlineStr">
        <is>
          <t>mikrokontroller</t>
        </is>
      </c>
      <c r="C7" s="25" t="inlineStr">
        <is>
          <t>Egy, a dolgozat egészében következetes alak.</t>
        </is>
      </c>
    </row>
    <row r="8" ht="15" customHeight="1" s="18">
      <c r="A8" s="25" t="inlineStr">
        <is>
          <t>adó-vevő</t>
        </is>
      </c>
      <c r="B8" s="25" t="inlineStr">
        <is>
          <t>transceiver</t>
        </is>
      </c>
      <c r="C8" s="25" t="inlineStr">
        <is>
          <t>CAN adó-vevő (SN65HVD231).</t>
        </is>
      </c>
    </row>
    <row r="9" ht="15" customHeight="1" s="18">
      <c r="A9" s="25" t="inlineStr">
        <is>
          <t>keret</t>
        </is>
      </c>
      <c r="B9" s="25" t="inlineStr">
        <is>
          <t>CAN-csomag, frame</t>
        </is>
      </c>
      <c r="C9" s="25" t="inlineStr">
        <is>
          <t>CAN-hálózaton 'keret'; az ESP-NOW-n 'csomag'.</t>
        </is>
      </c>
    </row>
    <row r="10" ht="15" customHeight="1" s="18">
      <c r="A10" s="25" t="inlineStr">
        <is>
          <t>csomag</t>
        </is>
      </c>
      <c r="B10" s="25" t="inlineStr">
        <is>
          <t>packet</t>
        </is>
      </c>
      <c r="C10" s="25" t="inlineStr">
        <is>
          <t>Az ESP-NOW és BLE adatáramlására.</t>
        </is>
      </c>
    </row>
    <row r="11" ht="15" customHeight="1" s="18">
      <c r="A11" s="25" t="inlineStr">
        <is>
          <t>alvó mód</t>
        </is>
      </c>
      <c r="B11" s="25" t="inlineStr">
        <is>
          <t>sleep</t>
        </is>
      </c>
      <c r="C11" s="25" t="inlineStr">
        <is>
          <t>Light sleep és deep sleep: 'könnyű alvás', 'mély alvás', az angol név zárójelben.</t>
        </is>
      </c>
    </row>
    <row r="12" ht="15" customHeight="1" s="18">
      <c r="A12" s="25" t="inlineStr">
        <is>
          <t>ébresztés</t>
        </is>
      </c>
      <c r="B12" s="25" t="inlineStr">
        <is>
          <t>wake-up</t>
        </is>
      </c>
      <c r="C12" s="25" t="inlineStr">
        <is>
          <t>–</t>
        </is>
      </c>
    </row>
    <row r="13" ht="15" customHeight="1" s="18">
      <c r="A13" s="25" t="inlineStr">
        <is>
          <t>kitöltési tényező</t>
        </is>
      </c>
      <c r="B13" s="25" t="inlineStr">
        <is>
          <t>duty cycle</t>
        </is>
      </c>
      <c r="C13" s="25" t="inlineStr">
        <is>
          <t>BLE-ablak: pl. 15 ms / 1,5 s.</t>
        </is>
      </c>
    </row>
    <row r="14" ht="15" customHeight="1" s="18">
      <c r="A14" s="25" t="inlineStr">
        <is>
          <t>tápfeszültség</t>
        </is>
      </c>
      <c r="B14" s="25" t="inlineStr">
        <is>
          <t>VCC, supply</t>
        </is>
      </c>
      <c r="C14" s="25" t="inlineStr">
        <is>
          <t>Jelölés: V_SYS, +3,3 V, a kapcsolási rajz szerint.</t>
        </is>
      </c>
    </row>
    <row r="15" ht="15" customHeight="1" s="18">
      <c r="A15" s="25" t="inlineStr">
        <is>
          <t>védődióda / TVS-dióda</t>
        </is>
      </c>
      <c r="B15" s="25" t="inlineStr">
        <is>
          <t>TVS</t>
        </is>
      </c>
      <c r="C15" s="25" t="inlineStr">
        <is>
          <t>Tranziensvédő dióda; első említéskor 'tranziensfeszültség-védő (TVS) dióda'.</t>
        </is>
      </c>
    </row>
    <row r="16" ht="15" customHeight="1" s="18">
      <c r="A16" s="25" t="inlineStr">
        <is>
          <t>biztosíték (PPTC)</t>
        </is>
      </c>
      <c r="B16" s="25" t="inlineStr">
        <is>
          <t>fuse, polifuse</t>
        </is>
      </c>
      <c r="C16" s="25" t="inlineStr">
        <is>
          <t>Visszaálló biztosíték (PPTC).</t>
        </is>
      </c>
    </row>
    <row r="17" ht="15" customHeight="1" s="18">
      <c r="A17" s="25" t="inlineStr">
        <is>
          <t>forrasztóhíd</t>
        </is>
      </c>
      <c r="B17" s="25" t="inlineStr">
        <is>
          <t>jumper</t>
        </is>
      </c>
      <c r="C17" s="25" t="inlineStr">
        <is>
          <t>JP1, JP2.</t>
        </is>
      </c>
    </row>
    <row r="18" ht="15" customHeight="1" s="18">
      <c r="A18" s="25" t="inlineStr">
        <is>
          <t>beágyazott szoftver</t>
        </is>
      </c>
      <c r="B18" s="25" t="inlineStr">
        <is>
          <t>firmware</t>
        </is>
      </c>
      <c r="C18" s="25" t="inlineStr">
        <is>
          <t>Első említéskor zárójelben: (firmware).</t>
        </is>
      </c>
    </row>
    <row r="19" ht="15" customHeight="1" s="18">
      <c r="A19" s="25" t="inlineStr">
        <is>
          <t>kijelzővezérlő</t>
        </is>
      </c>
      <c r="B19" s="25" t="inlineStr">
        <is>
          <t>display driver</t>
        </is>
      </c>
      <c r="C19" s="25" t="inlineStr">
        <is>
          <t>Az ST77916 vezérlő IC.</t>
        </is>
      </c>
    </row>
    <row r="20" ht="15" customHeight="1" s="18">
      <c r="A20" s="25" t="inlineStr">
        <is>
          <t>érintővezérlő</t>
        </is>
      </c>
      <c r="B20" s="25" t="inlineStr">
        <is>
          <t>touch controller</t>
        </is>
      </c>
      <c r="C20" s="25" t="inlineStr">
        <is>
          <t>CST816S.</t>
        </is>
      </c>
    </row>
    <row r="21" ht="15" customHeight="1" s="18">
      <c r="A21" s="25" t="inlineStr">
        <is>
          <t>hálózati réteg / protokoll</t>
        </is>
      </c>
      <c r="B21" s="25" t="inlineStr">
        <is>
          <t>stack</t>
        </is>
      </c>
      <c r="C21" s="25" t="inlineStr">
        <is>
          <t>–</t>
        </is>
      </c>
    </row>
    <row r="22" ht="15" customHeight="1" s="18">
      <c r="A22" s="25" t="inlineStr">
        <is>
          <t>vezeték nélküli kapcsolat</t>
        </is>
      </c>
      <c r="B22" s="25" t="inlineStr">
        <is>
          <t>wireless link</t>
        </is>
      </c>
      <c r="C22" s="25" t="inlineStr">
        <is>
          <t>–</t>
        </is>
      </c>
    </row>
    <row r="23" ht="15" customHeight="1" s="18">
      <c r="A23" s="25" t="inlineStr">
        <is>
          <t>hibakód</t>
        </is>
      </c>
      <c r="B23" s="25" t="inlineStr">
        <is>
          <t>DTC</t>
        </is>
      </c>
      <c r="C23" s="25" t="inlineStr">
        <is>
          <t>Első említéskor: (DTC, Diagnostic Trouble Code).</t>
        </is>
      </c>
    </row>
    <row r="24" ht="15" customHeight="1" s="18">
      <c r="A24" s="25" t="inlineStr">
        <is>
          <t>gyártóazonosító (WMI)</t>
        </is>
      </c>
      <c r="B24" s="25" t="inlineStr">
        <is>
          <t>WMI</t>
        </is>
      </c>
      <c r="C24" s="25" t="inlineStr">
        <is>
          <t>A VIN első három karaktere.</t>
        </is>
      </c>
    </row>
    <row r="26" ht="15" customHeight="1" s="18">
      <c r="A26" s="30" t="inlineStr">
        <is>
          <t>Javaslat: a konzulenssel egyeztetendő, mert az elvárás szóhasználati következetesség.</t>
        </is>
      </c>
    </row>
  </sheetData>
  <autoFilter ref="A1:C2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2026-10-18T12:03:07Z</dcterms:created>
  <dcterms:modified xsi:type="dcterms:W3CDTF">2026-10-24T22:33:28Z</dcterms:modified>
  <cp:revision>0</cp:revision>
</cp:coreProperties>
</file>
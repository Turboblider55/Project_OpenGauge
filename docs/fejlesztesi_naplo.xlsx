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Útmutató" sheetId="1" state="visible" r:id="rId3"/>
    <sheet name="Összefoglaló" sheetId="2" state="visible" r:id="rId4"/>
    <sheet name="Hibák" sheetId="3" state="visible" r:id="rId5"/>
    <sheet name="Változtatások" sheetId="4" state="visible" r:id="rId6"/>
    <sheet name="Tervezés" sheetId="5" state="visible" r:id="rId7"/>
    <sheet name="Nyitott kérdések" sheetId="6" state="visible" r:id="rId8"/>
    <sheet name="Szoftver" sheetId="7" state="visible" r:id="rId9"/>
    <sheet name="Források" sheetId="8" state="visible" r:id="rId10"/>
    <sheet name="Szójegyzék" sheetId="9" state="visible" r:id="rId11"/>
  </sheets>
  <definedNames>
    <definedName function="false" hidden="true" localSheetId="2" name="_xlnm._FilterDatabase" vbProcedure="false">Hibák!$A$1:$K$19</definedName>
    <definedName function="false" hidden="true" localSheetId="5" name="_xlnm._FilterDatabase" vbProcedure="false">'Nyitott kérdések'!$A$1:$E$18</definedName>
    <definedName function="false" hidden="true" localSheetId="6" name="_xlnm._FilterDatabase" vbProcedure="false">Szoftver!$A$1:$G$22</definedName>
    <definedName function="false" hidden="true" localSheetId="8" name="_xlnm._FilterDatabase" vbProcedure="false">Szójegyzék!$A$1:$C$24</definedName>
    <definedName function="false" hidden="true" localSheetId="4" name="_xlnm._FilterDatabase" vbProcedure="false">Tervezés!$A$1:$F$20</definedName>
    <definedName function="false" hidden="true" localSheetId="3" name="_xlnm._FilterDatabase" vbProcedure="false">Változtatások!$A$1:$H$18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<sst xmlns="http://schemas.openxmlformats.org/spreadsheetml/2006/main" count="1166" uniqueCount="820">
  <si>
    <t xml:space="preserve">Szakdolgozat – fejlesztési napló</t>
  </si>
  <si>
    <t xml:space="preserve">Projekt: OBD-II telemetria node (ESP32-C3) + Display Node (ESP32-S3)</t>
  </si>
  <si>
    <t xml:space="preserve">Lapok</t>
  </si>
  <si>
    <t xml:space="preserve">Hibák – minden talált hiba, kockázat és eltérés (súlyosság, ok, hatás, javítás, státusz).</t>
  </si>
  <si>
    <t xml:space="preserve">Változtatások – minden végrehajtott vagy eldöntött módosítás (NYÁK, alkatrész, dokumentum, rendelés, eszköz).</t>
  </si>
  <si>
    <t xml:space="preserve">Tervezés – tervezési döntések indoklással és alternatívákkal (ez adja a dolgozat 'miért így' fejezeteit).</t>
  </si>
  <si>
    <t xml:space="preserve">Nyitott kérdések – még nem eldöntött vagy nem mért dolgok.</t>
  </si>
  <si>
    <t xml:space="preserve">Összefoglaló – automatikus darabszámok a lapokból (képletek, nem kell szerkeszteni).</t>
  </si>
  <si>
    <t xml:space="preserve">Használat</t>
  </si>
  <si>
    <t xml:space="preserve">A kék betűs szöveg a kitöltendő vagy bizonytalan adat. Az 'Azonosító' oszlop (H-, V-, T-, Q-) a lapok közötti hivatkozásra való.</t>
  </si>
  <si>
    <t xml:space="preserve">A 'Hivatkozás' oszlopban a dokumentum szakaszszáma vagy fájlnév áll, hogy a dolgozatban vissza lehessen keresni.</t>
  </si>
  <si>
    <t xml:space="preserve">A dátumok az eddigi beszélgetésből és a dokumentumverziókból származnak; ahol a pontos nap nem ismert, 'kitöltendő' áll, és kék betűs.</t>
  </si>
  <si>
    <t xml:space="preserve">Új sor: másold az utolsó sort, vagy írj az első üres sorba; a legördülő listák (súlyosság, státusz) 500. sorig működnek. A szűrő az oszlopfejlécen van.</t>
  </si>
  <si>
    <t xml:space="preserve">Súlyosság: Kritikus = a NYÁK nem működik / veszélyes; Magas = funkciókiesés vagy javítás kell; Közepes = korlátozás, megkerülhető; Alacsony = kozmetikai / dokumentációs.</t>
  </si>
  <si>
    <t xml:space="preserve">Összefoglaló (képletek, nem szerkesztendő)</t>
  </si>
  <si>
    <t xml:space="preserve">Hibák összesen</t>
  </si>
  <si>
    <t xml:space="preserve">  Kritikus</t>
  </si>
  <si>
    <t xml:space="preserve">  Magas</t>
  </si>
  <si>
    <t xml:space="preserve">  Közepes</t>
  </si>
  <si>
    <t xml:space="preserve">  Alacsony</t>
  </si>
  <si>
    <t xml:space="preserve">Hibák – még nem lezárt (Nyitott, Tervezett, Ellenőrizendő, Döntés szükséges)</t>
  </si>
  <si>
    <t xml:space="preserve">Változtatások összesen</t>
  </si>
  <si>
    <t xml:space="preserve">  ebből tervezett (még nem végrehajtott)</t>
  </si>
  <si>
    <t xml:space="preserve">Tervezési döntések</t>
  </si>
  <si>
    <t xml:space="preserve">Nyitott kérdések</t>
  </si>
  <si>
    <t xml:space="preserve">Szoftver funkciók összesen</t>
  </si>
  <si>
    <t xml:space="preserve">Azonosító</t>
  </si>
  <si>
    <t xml:space="preserve">Dátum</t>
  </si>
  <si>
    <t xml:space="preserve">Rendszer / lap</t>
  </si>
  <si>
    <t xml:space="preserve">Hiba leírása</t>
  </si>
  <si>
    <t xml:space="preserve">Felfedezés módja</t>
  </si>
  <si>
    <t xml:space="preserve">Súlyosság</t>
  </si>
  <si>
    <t xml:space="preserve">Hatás</t>
  </si>
  <si>
    <t xml:space="preserve">Javítás / intézkedés</t>
  </si>
  <si>
    <t xml:space="preserve">Kapcsolódó változtatás</t>
  </si>
  <si>
    <t xml:space="preserve">Státusz</t>
  </si>
  <si>
    <t xml:space="preserve">Hivatkozás</t>
  </si>
  <si>
    <t xml:space="preserve">H-01</t>
  </si>
  <si>
    <t xml:space="preserve">2026-10-15</t>
  </si>
  <si>
    <t xml:space="preserve">Display NYÁK</t>
  </si>
  <si>
    <t xml:space="preserve">Q1 (AO3401A) source/drain felcserélve: a body dióda rossz irányba állt, így az akkumulátor-táp útvonal nem a tervezett módon vezetett.</t>
  </si>
  <si>
    <t xml:space="preserve">Kapcsolási rajz / NYÁK átnézés</t>
  </si>
  <si>
    <t xml:space="preserve">Magas</t>
  </si>
  <si>
    <t xml:space="preserve">Hibás tápútválasztás: az USB- és akkuüzem közti átváltás nem megbízható.</t>
  </si>
  <si>
    <t xml:space="preserve">Q1 2. és 3. pad hálózata és a hozzá tartozó rézvezetés javítva (Source = V_SYS, Drain = BTR+, Gate = +5V). Új NYÁK: Y10-13775771A.</t>
  </si>
  <si>
    <t xml:space="preserve">V-03</t>
  </si>
  <si>
    <t xml:space="preserve">Javítva (új NYÁK)</t>
  </si>
  <si>
    <t xml:space="preserve">display leírás 3.2.3</t>
  </si>
  <si>
    <t xml:space="preserve">H-02</t>
  </si>
  <si>
    <t xml:space="preserve">A Q1 gate-kisülési ideje C10 (10 µF) miatt τ = R17·C10 ≈ 0,5 s (R17 = 100 kΩ); korábbi feltevés ('nincs kapacitás a gate-hálón') téves volt.</t>
  </si>
  <si>
    <t xml:space="preserve">Számítás (dokumentum felülvizsgálat)</t>
  </si>
  <si>
    <t xml:space="preserve">Közepes</t>
  </si>
  <si>
    <t xml:space="preserve">USB lekötése után a gate lassan esik, átváltáskor rövid átmeneti állapot lehet.</t>
  </si>
  <si>
    <t xml:space="preserve">R17 mellé 1 kΩ párhuzamosan (≈ 5 ms, de ≈ 4 mA állandó terhelés USB-üzemben). Kézi utómunka a lapok megérkezése után.</t>
  </si>
  <si>
    <t xml:space="preserve">V-04</t>
  </si>
  <si>
    <t xml:space="preserve">Tervezett (kézi)</t>
  </si>
  <si>
    <t xml:space="preserve">display leírás 3.2.1(b), 3.2.4</t>
  </si>
  <si>
    <t xml:space="preserve">H-03</t>
  </si>
  <si>
    <t xml:space="preserve">F1 (PPTC, 0,5 A) alulméretezett a TP4056 töltőáramhoz és a terheléshez együtt.</t>
  </si>
  <si>
    <t xml:space="preserve">Terhelésszámítás</t>
  </si>
  <si>
    <t xml:space="preserve">Töltés és működés közben az F1 kioldhat.</t>
  </si>
  <si>
    <t xml:space="preserve">F1 cseréje 1 A-es típusra vagy kettőzése. Kézi utómunka.</t>
  </si>
  <si>
    <t xml:space="preserve">display leírás 3.2.4</t>
  </si>
  <si>
    <t xml:space="preserve">H-04</t>
  </si>
  <si>
    <t xml:space="preserve">C6 értéke (100 nF) kevés; a javítás 1 µF-os pótlás. [A pontos ok és hatás kitöltendő a display leírás 3.2.4 szerint.]</t>
  </si>
  <si>
    <t xml:space="preserve">Dokumentum felülvizsgálat</t>
  </si>
  <si>
    <t xml:space="preserve">[kitöltendő]</t>
  </si>
  <si>
    <t xml:space="preserve">C6-ra 1 µF párhuzamosan (piggyback). Kézi utómunka.</t>
  </si>
  <si>
    <t xml:space="preserve">H-05</t>
  </si>
  <si>
    <t xml:space="preserve">D2 (SMAJ5.0A) letörési feszültsége (min. 6,4 V) közel van a 5 V-os sín felső tűréséhez.</t>
  </si>
  <si>
    <t xml:space="preserve">Adatlap-összevetés</t>
  </si>
  <si>
    <t xml:space="preserve">Alacsony</t>
  </si>
  <si>
    <t xml:space="preserve">Csúcsok közben a TVS már szivároghat.</t>
  </si>
  <si>
    <t xml:space="preserve">Opcionális csere SMAJ6.0A-ra a kézi utómunka során.</t>
  </si>
  <si>
    <t xml:space="preserve">Tervezett (opcionális)</t>
  </si>
  <si>
    <t xml:space="preserve">H-06</t>
  </si>
  <si>
    <t xml:space="preserve">Nincs külső I²C felhúzó ellenállás a lapon (TP_SDA/TP_SCL).</t>
  </si>
  <si>
    <t xml:space="preserve">NYÁK/kapcsolási rajz átnézés</t>
  </si>
  <si>
    <t xml:space="preserve">Belső (~45 kΩ) felhúzóval csak 100 kHz-en megbízható; a Waveshare modul felhúzóit az oldal nem említi.</t>
  </si>
  <si>
    <t xml:space="preserve">Modul kapcsolási rajzának vagy mérésnek az ellenőrzése; szoftverben 100 kHz-ről indulni; szükség esetén külső felhúzó.</t>
  </si>
  <si>
    <t xml:space="preserve">Nyitott</t>
  </si>
  <si>
    <t xml:space="preserve">display leírás 2.2</t>
  </si>
  <si>
    <t xml:space="preserve">H-07</t>
  </si>
  <si>
    <t xml:space="preserve">Display dokumentáció</t>
  </si>
  <si>
    <t xml:space="preserve">Érintővezérlő típusa a leírásban CST816D volt, a valódi modulban CST816S van.</t>
  </si>
  <si>
    <t xml:space="preserve">Waveshare termékoldal</t>
  </si>
  <si>
    <t xml:space="preserve">Dokumentációs eltérés, a szoftver driverének kiválasztását érintette volna.</t>
  </si>
  <si>
    <t xml:space="preserve">Minden előfordulás javítva (display leírás A.3).</t>
  </si>
  <si>
    <t xml:space="preserve">V-06</t>
  </si>
  <si>
    <t xml:space="preserve">Lezárva</t>
  </si>
  <si>
    <t xml:space="preserve">display leírás A.3</t>
  </si>
  <si>
    <t xml:space="preserve">H-08</t>
  </si>
  <si>
    <t xml:space="preserve">A leírás számai (V_SYS, LDO-veszteség, J2 kiosztás) nem egyeztek az elkészült NYÁK-kal.</t>
  </si>
  <si>
    <t xml:space="preserve">Leírás–NYÁK összevetés</t>
  </si>
  <si>
    <t xml:space="preserve">Az elavult adatok félrevezették volna a dolgozatot és a szoftverfejlesztést.</t>
  </si>
  <si>
    <t xml:space="preserve">Újraszámolás és átírás (display A.2).</t>
  </si>
  <si>
    <t xml:space="preserve">display leírás A.2</t>
  </si>
  <si>
    <t xml:space="preserve">H-09</t>
  </si>
  <si>
    <t xml:space="preserve">2026-10-16</t>
  </si>
  <si>
    <t xml:space="preserve">OBD NYÁK</t>
  </si>
  <si>
    <t xml:space="preserve">TPS54302 VIN abs. max. 30 V, a D4 (SMAJ24A) kapocsfeszültsége nagy áramnál 38,9 V, soros ellenállás vagy biztosíték nincs (csak a D8).</t>
  </si>
  <si>
    <t xml:space="preserve">TI adatlap + számítás</t>
  </si>
  <si>
    <t xml:space="preserve">Elnyomatlan load dump esetén a buck bemenetére 30 V fölötti csúcs juthat.</t>
  </si>
  <si>
    <t xml:space="preserve">Nem módosítható (a NYÁK gyártásban van). Normál 12 V-os járműhálózatban elfogadható; kapocsfeszültség mérése tervezett.</t>
  </si>
  <si>
    <t xml:space="preserve">Elfogadott kockázat</t>
  </si>
  <si>
    <t xml:space="preserve">OBD leírás 2.2.4</t>
  </si>
  <si>
    <t xml:space="preserve">H-10</t>
  </si>
  <si>
    <t xml:space="preserve">JP1 egy ellenállás nélküli CANL–CANH forrasztóhíd.</t>
  </si>
  <si>
    <t xml:space="preserve">NYÁK átnézés</t>
  </si>
  <si>
    <t xml:space="preserve">Véletlen rövidzár (híd zárása) a CAN-busz lezárása helyett.</t>
  </si>
  <si>
    <t xml:space="preserve">Figyelmeztetés a leírásban (JP1 nyitva üzemelés).</t>
  </si>
  <si>
    <t xml:space="preserve">OBD leírás</t>
  </si>
  <si>
    <t xml:space="preserve">H-11</t>
  </si>
  <si>
    <t xml:space="preserve">OBD NYÁK / firmware</t>
  </si>
  <si>
    <t xml:space="preserve">Alkatrész-kiválasztási hiba: a tervezett SN65HVD230 helyett SN65HVD231 került a kapcsolási rajzra/rendelésbe. A 231 sleep módjában (RS &gt; 0,75·VCC) a vevő is kikapcsol (0,1 µA), a 230 standby módjában viszont a vevő aktív marad (370 µA typ.), és az RXD követi a buszt.</t>
  </si>
  <si>
    <t xml:space="preserve">Adatlap</t>
  </si>
  <si>
    <t xml:space="preserve">A funkciólista 'forgalomra ébredés' elképzelése nem teljesül; alvó eszköz nem veszi észre a gyújtás bekapcsolását.</t>
  </si>
  <si>
    <t xml:space="preserve">Szoftveres megoldás: light sleep + időzítős ébredés, RS = LOW és GPIO-ébresztés az RX-en rövid ablakban, listen-only ellenőrzés, forgalom hiányában visszaalvás. Alternatíva: az IC kézi cseréje SN65HVD230-ra (azonos SOIC-8 lábkiosztás).</t>
  </si>
  <si>
    <t xml:space="preserve">V-12</t>
  </si>
  <si>
    <t xml:space="preserve">Szoftveres megoldás tervezve</t>
  </si>
  <si>
    <t xml:space="preserve">OBD leírás 3.3</t>
  </si>
  <si>
    <t xml:space="preserve">H-15</t>
  </si>
  <si>
    <t xml:space="preserve">2026-10-17</t>
  </si>
  <si>
    <t xml:space="preserve">Display + OBD NYÁK</t>
  </si>
  <si>
    <t xml:space="preserve">Egyik panelen sincs külső 32,768 kHz-es kristály. A BLE alacsony fogyasztású órája így vagy a fő XTAL (light sleep alatt is bekapcsolva marad, nagyobb áram), vagy a belső ~136 kHz-es RC (csak legacy hirdetésre/szkennelésre, kapcsolatra nem).</t>
  </si>
  <si>
    <t xml:space="preserve">ESP-IDF BLE low power útmutató</t>
  </si>
  <si>
    <t xml:space="preserve">A BLE light sleep átlagfogyasztása a tervezettnél nagyobb lehet.</t>
  </si>
  <si>
    <t xml:space="preserve">Mérés a lapokon; ha kevés, nincs hardveres megoldás a jelenlegi NYÁK-on, a szkennelési ablak rövidítése vagy az ébredési periódus növelése segíthet.</t>
  </si>
  <si>
    <t xml:space="preserve">display leírás 3.3</t>
  </si>
  <si>
    <t xml:space="preserve">H-16</t>
  </si>
  <si>
    <t xml:space="preserve">Display szoftver / RF</t>
  </si>
  <si>
    <t xml:space="preserve">ESP-NOW vétel és BLE együttes használata a display S3-on: az ESP-IDF koegzisztencia-táblázata szerint az ESP-NOW RX instabil/korlátozott (az ESP-NOW TX és a BLE rendben).</t>
  </si>
  <si>
    <t xml:space="preserve">ESP-IDF RF Coexistence útmutató</t>
  </si>
  <si>
    <t xml:space="preserve">Telefonnal összekötött BLE mellett csomagvesztés lehet a telemetriában.</t>
  </si>
  <si>
    <t xml:space="preserve">Korai teszt (spike); tartalék: telemetria BLE-n (notify vagy hirdetés), ESP-NOW csak ébresztés utáni átváltáshoz.</t>
  </si>
  <si>
    <t xml:space="preserve">funkciólista F-DISP-05</t>
  </si>
  <si>
    <t xml:space="preserve">H-17</t>
  </si>
  <si>
    <t xml:space="preserve">Display szoftver / energia</t>
  </si>
  <si>
    <t xml:space="preserve">Modem sleep választása a display alvásához: az ESP32-S3 adatlapja szerint modem sleepben (CPU tétlen) 22 mA (80 MHz) – 32,9 mA (240 MHz) az áram, light sleepben 240 µA (+ kb. 140 µA az 8 MB octal PSRAM-nak).</t>
  </si>
  <si>
    <t xml:space="preserve">ESP32-S3-WROOM-1 adatlap</t>
  </si>
  <si>
    <t xml:space="preserve">1000 mAh-s cellával a modem sleep csak kb. 1,5–2 nap üzemidőt ad; light sleepben a BLE-ablakos hallgatás átlagosan kb. 2–3 mA (becslés).</t>
  </si>
  <si>
    <t xml:space="preserve">Light sleep + automatikus light sleep a BLE-vel, 30 ms-os ablak 1,5 s-onként; mérés a megérkezett lapon. Modem sleep csak az OBD oldalon (járműből táplált) elfogadható.</t>
  </si>
  <si>
    <t xml:space="preserve">V-13</t>
  </si>
  <si>
    <t xml:space="preserve">H-18</t>
  </si>
  <si>
    <t xml:space="preserve">Teszthardver</t>
  </si>
  <si>
    <t xml:space="preserve">Az OBD node teszthez a felhasználó ESP32-S2 mini devkitje van meg C3 helyett. Az ESP32-S2-n nincs Bluetooth, így a BLE-ébresztés tesztelhetetlen rajta.</t>
  </si>
  <si>
    <t xml:space="preserve">Chip Series Comparison (ESP-IDF)</t>
  </si>
  <si>
    <t xml:space="preserve">A BLE-ébresztő lánc (S-13) nem tesztelhető S2-n; CAN (TWAI) és ESP-NOW igen.</t>
  </si>
  <si>
    <t xml:space="preserve">BLE-ébresztés tesztje az ESP32-S3-on és a végleges C3-on; asztali CAN-teszthez külön transceiver (SN65HVD230 modul) kell.</t>
  </si>
  <si>
    <t xml:space="preserve">V-15</t>
  </si>
  <si>
    <t xml:space="preserve">–</t>
  </si>
  <si>
    <t xml:space="preserve">H-12</t>
  </si>
  <si>
    <t xml:space="preserve">Gyártási fájlok</t>
  </si>
  <si>
    <t xml:space="preserve">A Gerber-export (17:55) régebbi volt, mint a mentett .kicad_pcb (17:57).</t>
  </si>
  <si>
    <t xml:space="preserve">Fájlidő-összevetés</t>
  </si>
  <si>
    <t xml:space="preserve">A gyártó a legutolsó módosítás nélkül gyárthatott volna.</t>
  </si>
  <si>
    <t xml:space="preserve">Újraexportálás javasolva a felhasználónak.</t>
  </si>
  <si>
    <t xml:space="preserve">kitöltendő</t>
  </si>
  <si>
    <t xml:space="preserve">Ellenőrizendő</t>
  </si>
  <si>
    <t xml:space="preserve">H-13</t>
  </si>
  <si>
    <t xml:space="preserve">JLCPCB rendelés</t>
  </si>
  <si>
    <t xml:space="preserve">Display NYÁK Y9 6%-on indult, mielőtt a hiba kiderült volna; alkatrészt a gyártás indulása után cserélni nem lehet.</t>
  </si>
  <si>
    <t xml:space="preserve">JLCPCB válasz (Carrie)</t>
  </si>
  <si>
    <t xml:space="preserve">Az eredeti PCB hibás (Y9), alkatrész-BOM nem módosítható.</t>
  </si>
  <si>
    <t xml:space="preserve">2. opció választva: új PCB (Y10) a régi tételhez fűzve, alkatrészek változatlanok, kézi javítás a lapok megérkezése után.</t>
  </si>
  <si>
    <t xml:space="preserve">Kezelve</t>
  </si>
  <si>
    <t xml:space="preserve">H-14</t>
  </si>
  <si>
    <t xml:space="preserve">Edge rail (≥ 5 mm) hiányzott, utólagos hozzáadása 18 EUR extra költség.</t>
  </si>
  <si>
    <t xml:space="preserve">JLCPCB válasz</t>
  </si>
  <si>
    <t xml:space="preserve">Többletköltség (18 EUR).</t>
  </si>
  <si>
    <t xml:space="preserve">Befizetve. Jövőben PCB + SMT együtt rendelve a gyártó maga adja hozzá a szegélyt.</t>
  </si>
  <si>
    <t xml:space="preserve">V-05</t>
  </si>
  <si>
    <t xml:space="preserve">Terület</t>
  </si>
  <si>
    <t xml:space="preserve">Változtatás leírása</t>
  </si>
  <si>
    <t xml:space="preserve">Ok / forrás</t>
  </si>
  <si>
    <t xml:space="preserve">Kapcsolódó hiba</t>
  </si>
  <si>
    <t xml:space="preserve">V-01</t>
  </si>
  <si>
    <t xml:space="preserve">2026-10-07</t>
  </si>
  <si>
    <t xml:space="preserve">Dokumentáció</t>
  </si>
  <si>
    <t xml:space="preserve">OBD műszaki leírás első kiadása (Rev. A): hardver- és firmware-architektúra, mérési útmutató.</t>
  </si>
  <si>
    <t xml:space="preserve">Kiinduló dokumentáció</t>
  </si>
  <si>
    <t xml:space="preserve">obd_telemetria_muszaki_leiras.md</t>
  </si>
  <si>
    <t xml:space="preserve">V-02</t>
  </si>
  <si>
    <t xml:space="preserve">2026-10-13</t>
  </si>
  <si>
    <t xml:space="preserve">Display műszaki leírás pontosítása (Rev. A.1): C7/C8 10 µF, Q1 hibájának dokumentálása.</t>
  </si>
  <si>
    <t xml:space="preserve">Pontosítás kapcsolási rajz/NYÁK szerint</t>
  </si>
  <si>
    <t xml:space="preserve">display_node_muszaki_leiras.md</t>
  </si>
  <si>
    <t xml:space="preserve">Új, javított NYÁK (Y10-13775771A): csak Q1 2./3. pad hálózata és a rézvezetés változott; alkatrészlista és CPL azonos. A korábbi Y9 rendelés mellé fűzve.</t>
  </si>
  <si>
    <t xml:space="preserve">JLCPCB 2. opció (Carrie)</t>
  </si>
  <si>
    <t xml:space="preserve">H-01, H-13</t>
  </si>
  <si>
    <t xml:space="preserve">display NYÁK (proj4)</t>
  </si>
  <si>
    <t xml:space="preserve">Végrehajtva</t>
  </si>
  <si>
    <t xml:space="preserve">Display kézi utómunka</t>
  </si>
  <si>
    <t xml:space="preserve">Lapok megérkezése után: F1 → 1 A, R17 ∥ 1 kΩ, C6 ∥ 1 µF, opcionálisan D2 → SMAJ6.0A. BOM nem módosítható, mert az alkatrészek a gyártás indulása után nem cserélhetők.</t>
  </si>
  <si>
    <t xml:space="preserve">Kézi javítás</t>
  </si>
  <si>
    <t xml:space="preserve">H-02, H-03, H-04, H-05</t>
  </si>
  <si>
    <t xml:space="preserve">Tervezett</t>
  </si>
  <si>
    <t xml:space="preserve">Rendelés</t>
  </si>
  <si>
    <t xml:space="preserve">Edge rail pótdíj 18 EUR befizetve.</t>
  </si>
  <si>
    <t xml:space="preserve">JLCPCB (Carrie)</t>
  </si>
  <si>
    <t xml:space="preserve">Display leírás Rev. A.2 (NYÁK szerinti átírás) és A.3 (Waveshare 1,85″ modul, ST77916 + CST816S); OBD leírás Rev. A.1 (D8/D2 diódás VAGY, F1 csak USB-n, JP1, JP2).</t>
  </si>
  <si>
    <t xml:space="preserve">Revíziós szakasz bevezetése a visszakövethetőségért</t>
  </si>
  <si>
    <t xml:space="preserve">H-07, H-08, H-10</t>
  </si>
  <si>
    <t xml:space="preserve">display A.2/A.3, OBD A.1</t>
  </si>
  <si>
    <t xml:space="preserve">V-07</t>
  </si>
  <si>
    <t xml:space="preserve">Kijelző</t>
  </si>
  <si>
    <t xml:space="preserve">Kijelző kiválasztva: Waveshare 1,85″ érintős LCD modul (SKU 35079), 360 × 360, ST77916 QSPI, CST816S érintő. A J2 1–15. láb egyezik a gyártói kiosztással.</t>
  </si>
  <si>
    <t xml:space="preserve">Termékoldal-összevetés</t>
  </si>
  <si>
    <t xml:space="preserve">V-08</t>
  </si>
  <si>
    <t xml:space="preserve">Az OBD NYÁK átnézve: komolyabb hiba nincs; alkatrészcsere nem szükséges (csak a kijelző NYÁK-ján kell kézzel módosítani).</t>
  </si>
  <si>
    <t xml:space="preserve">NYÁK-ellenőrzés</t>
  </si>
  <si>
    <t xml:space="preserve">TestProject_02</t>
  </si>
  <si>
    <t xml:space="preserve">V-09</t>
  </si>
  <si>
    <t xml:space="preserve">Fejlesztői környezet</t>
  </si>
  <si>
    <t xml:space="preserve">ESP-IDF marad VS Code-ban; a két projekt közös komponenst használ egy GitHub-repóban, ahol a KiCad fájlok is vannak.</t>
  </si>
  <si>
    <t xml:space="preserve">Felhasználói döntés</t>
  </si>
  <si>
    <t xml:space="preserve">Eldöntve</t>
  </si>
  <si>
    <t xml:space="preserve">V-10</t>
  </si>
  <si>
    <t xml:space="preserve">OBD leírás Rev. A.2: TPS54302 adatlapi értékek (abs. max 30 V, Iq 45 µA), SN65HVD231 sleep mód korlátai.</t>
  </si>
  <si>
    <t xml:space="preserve">Adatlap-ellenőrzés</t>
  </si>
  <si>
    <t xml:space="preserve">H-09, H-11</t>
  </si>
  <si>
    <t xml:space="preserve">obd leírás A.2</t>
  </si>
  <si>
    <t xml:space="preserve">Tervezés</t>
  </si>
  <si>
    <t xml:space="preserve">OBD key-on érzékelés: light sleep + időzítős ébredés, RX-GPIO ébresztés listen-only ablakban (SN65HVD231-en nincs busz-ébresztés); az IC SN65HVD230-ra cserélése kézzel alternatíva.</t>
  </si>
  <si>
    <t xml:space="preserve">Felhasználói döntés az alkatrész-kiválasztási hiba után</t>
  </si>
  <si>
    <t xml:space="preserve">Display ébresztés: light sleep, BLE szkennelés kis kitöltéssel (pl. 15 ms / 1,5 s), OBD gyors BLE hirdetéssel ébreszti, majd ESP-NOW-ra vagy BLE-re váltás. Telefon: iOS elsődleges (AMS), cél: általános.</t>
  </si>
  <si>
    <t xml:space="preserve">H-15, H-16</t>
  </si>
  <si>
    <t xml:space="preserve">funkciólista F-DISP-06/07</t>
  </si>
  <si>
    <t xml:space="preserve">V-14</t>
  </si>
  <si>
    <t xml:space="preserve">Korábban tervezett 1,28″-es kerek kijelző túl kicsinek bizonyult, ezért váltás a 1,85″-es (ST77916) modulra; a funkciólista IC-adatai (GC9A01/ST7789, CST816D) ezt nem követték.</t>
  </si>
  <si>
    <t xml:space="preserve">Felhasználói közlés</t>
  </si>
  <si>
    <t xml:space="preserve">Otthoni teszteszközök: ESP32-S3 devkit és ESP32-S2 mini (az OBD C3 helyett). A végleges hardver C3 marad.</t>
  </si>
  <si>
    <t xml:space="preserve">V-16</t>
  </si>
  <si>
    <t xml:space="preserve">Új követelmények: VIN kiolvasása minden indításnál, gyártó azonosítása a WMI-ből, márkalogó és egyszerű animáció a kijelzőn. Általános működés bármilyen autóhoz (nincs járműspecifikus beállítás).</t>
  </si>
  <si>
    <t xml:space="preserve">Szoftver lap S-18, S-19</t>
  </si>
  <si>
    <t xml:space="preserve">V-17</t>
  </si>
  <si>
    <t xml:space="preserve">2026-10-18</t>
  </si>
  <si>
    <t xml:space="preserve">Végleges otthoni tesztösszeállítás: ESP32-S3-WROOM-1-N16R8 devkit (display), ESP32-C3 SuperMini (OBD node), ESP32-S2 mini (ECU-szimulátor), két SN65HVD230 CAN modul (a HVD230 viselkedése így is kipróbálható).</t>
  </si>
  <si>
    <t xml:space="preserve">V-11</t>
  </si>
  <si>
    <t xml:space="preserve">Naplózás</t>
  </si>
  <si>
    <t xml:space="preserve">Excel napló elindítva (hibák, változtatások, tervezés, nyitott kérdések).</t>
  </si>
  <si>
    <t xml:space="preserve">Felhasználói kérés</t>
  </si>
  <si>
    <t xml:space="preserve">fejlesztesi_naplo.xlsx</t>
  </si>
  <si>
    <t xml:space="preserve">V-18</t>
  </si>
  <si>
    <t xml:space="preserve">Egyetemi szakdolgozati sablon (szd_ stílusok) bevezetése a FOSZK útmutató formázása helyett: TNR 12, 1,5 sorköz, 0,7 cm behúzás, számozott [n] hivatkozás</t>
  </si>
  <si>
    <t xml:space="preserve">Az egyetemi sablon .docx és a két szakirányú javaslat (mikrovezérlős, szoftveres)</t>
  </si>
  <si>
    <t xml:space="preserve">2_hardver.md/.docx</t>
  </si>
  <si>
    <t xml:space="preserve">V-19</t>
  </si>
  <si>
    <t xml:space="preserve">Egy közös dolgozat, hardveres és szoftveres rész elkülönítve; hivatkozás pontszámmal</t>
  </si>
  <si>
    <t xml:space="preserve">Hallgatói döntés</t>
  </si>
  <si>
    <t xml:space="preserve">2_hardver.md</t>
  </si>
  <si>
    <t xml:space="preserve">V-20</t>
  </si>
  <si>
    <t xml:space="preserve">2. fejezet (Hardver tervezése) első teljes változata</t>
  </si>
  <si>
    <t xml:space="preserve">Hallgatói kérés</t>
  </si>
  <si>
    <t xml:space="preserve">2_hardver.docx</t>
  </si>
  <si>
    <t xml:space="preserve">V-21</t>
  </si>
  <si>
    <t xml:space="preserve">JP1 leírása javítva (alapállapotban nyitott pad, a hiba az ellenállás-lábnyom hiánya); a hibák „utólagos felismerés” szerint átfogalmazva; új 2.6 pont (3D nyomtatott házak); források linkjei</t>
  </si>
  <si>
    <t xml:space="preserve">Hallgatói észrevételek</t>
  </si>
  <si>
    <t xml:space="preserve">H-hibák</t>
  </si>
  <si>
    <t xml:space="preserve">szakdolgozat_2_hardver.docx</t>
  </si>
  <si>
    <t xml:space="preserve">V-22</t>
  </si>
  <si>
    <t xml:space="preserve">3. fejezet (Beágyazott szoftverfejlesztés) vázlata</t>
  </si>
  <si>
    <t xml:space="preserve">szakdolgozat_3_szoftver_vazlat.docx</t>
  </si>
  <si>
    <t xml:space="preserve">V-23</t>
  </si>
  <si>
    <t xml:space="preserve">1. fejezet (Bevezetés és elméleti háttér) első változata, benne új alpont: a NYÁK-tervezés elméleti háttere, a projekt pontjaihoz kötve; 1–2. fejezet összefűzve átvezető bekezdésekkel (szakdolgozat_draft_v0_3)</t>
  </si>
  <si>
    <t xml:space="preserve">szakdolgozat_draft_v0_3.docx</t>
  </si>
  <si>
    <t xml:space="preserve">Téma</t>
  </si>
  <si>
    <t xml:space="preserve">Döntés</t>
  </si>
  <si>
    <t xml:space="preserve">Indoklás</t>
  </si>
  <si>
    <t xml:space="preserve">Elvetett alternatívák</t>
  </si>
  <si>
    <t xml:space="preserve">T-01</t>
  </si>
  <si>
    <t xml:space="preserve">OBD node vezérlő</t>
  </si>
  <si>
    <t xml:space="preserve">ESP32-C3-WROOM-02</t>
  </si>
  <si>
    <t xml:space="preserve">Beépített TWAI (CAN) vezérlő, USB, alacsony ár, ESP-NOW és BLE támogatás.</t>
  </si>
  <si>
    <t xml:space="preserve">ESP32-S3, ESP32 (klasszikus)</t>
  </si>
  <si>
    <t xml:space="preserve">OBD leírás 1.</t>
  </si>
  <si>
    <t xml:space="preserve">T-02</t>
  </si>
  <si>
    <t xml:space="preserve">CAN transceiver</t>
  </si>
  <si>
    <t xml:space="preserve">SN65HVD231</t>
  </si>
  <si>
    <t xml:space="preserve">3,3 V-os táp, sleep mód (0,1 µA typ.), egyszerű RS-vezérlés.</t>
  </si>
  <si>
    <t xml:space="preserve">SN65HVD230 (standby fogyasztása nagyobb), MCP2551 (5 V)</t>
  </si>
  <si>
    <t xml:space="preserve">T-03</t>
  </si>
  <si>
    <t xml:space="preserve">OBD táplálás</t>
  </si>
  <si>
    <t xml:space="preserve">TPS54302 buck, D8 (SS34) + D2 (SS14) VAGY-kapcsolás</t>
  </si>
  <si>
    <t xml:space="preserve">12–18 V-os járműhálózat hatékony levétele 3,3 V-ra; USB és jármű közti átkapcsolás diódákkal.</t>
  </si>
  <si>
    <t xml:space="preserve">LDO (nagy disszipáció), kapcsolóüzemű modul</t>
  </si>
  <si>
    <t xml:space="preserve">OBD leírás 2.2</t>
  </si>
  <si>
    <t xml:space="preserve">T-04</t>
  </si>
  <si>
    <t xml:space="preserve">Tranziensvédelem</t>
  </si>
  <si>
    <t xml:space="preserve">D4 SMAJ24A TVS a nyers VBAT-on</t>
  </si>
  <si>
    <t xml:space="preserve">A járműhálózat feszültségcsúcsai ellen; nincs soros biztosíték (hely és ár).</t>
  </si>
  <si>
    <t xml:space="preserve">PTC vagy biztosíték sorosan</t>
  </si>
  <si>
    <t xml:space="preserve">OBD leírás 2.2.3</t>
  </si>
  <si>
    <t xml:space="preserve">T-05</t>
  </si>
  <si>
    <t xml:space="preserve">Vezeték nélküli kapcsolat</t>
  </si>
  <si>
    <t xml:space="preserve">ESP-NOW (2,4 GHz, router nélkül)</t>
  </si>
  <si>
    <t xml:space="preserve">Kis késleltetés, nincs handshake, a két node közvetlenül kommunikál.</t>
  </si>
  <si>
    <t xml:space="preserve">BLE GATT, Wi-Fi AP + UDP</t>
  </si>
  <si>
    <t xml:space="preserve">funkciólista 1.</t>
  </si>
  <si>
    <t xml:space="preserve">T-06</t>
  </si>
  <si>
    <t xml:space="preserve">Display vezérlő</t>
  </si>
  <si>
    <t xml:space="preserve">ESP32-S3-WROOM-1-N8R8</t>
  </si>
  <si>
    <t xml:space="preserve">Octal PSRAM a kijelző-pufferekhez, BLE, USB, elég GPIO.</t>
  </si>
  <si>
    <t xml:space="preserve">ESP32-S3 N16R8, ESP32-C6</t>
  </si>
  <si>
    <t xml:space="preserve">display leírás 1.</t>
  </si>
  <si>
    <t xml:space="preserve">T-07</t>
  </si>
  <si>
    <t xml:space="preserve">Waveshare 1,85″ 360 × 360 érintős modul, QSPI</t>
  </si>
  <si>
    <t xml:space="preserve">Kerek kialakítás, QSPI a gyors frissítéshez, beépített érintés és szintillesztő.</t>
  </si>
  <si>
    <t xml:space="preserve">GC9A01 (240 × 240, csak SPI), ST7789</t>
  </si>
  <si>
    <t xml:space="preserve">T-08</t>
  </si>
  <si>
    <t xml:space="preserve">Grafikus keretrendszer</t>
  </si>
  <si>
    <t xml:space="preserve">LVGL (esp_lvgl_port) ESP-IDF-en</t>
  </si>
  <si>
    <t xml:space="preserve">Széles körben használt, ESP-IDF komponens, érintés- és kijelző-illesztő támogatás.</t>
  </si>
  <si>
    <t xml:space="preserve">TFT_eSPI (nem ESP-IDF), saját rajzolás</t>
  </si>
  <si>
    <t xml:space="preserve">funkciólista F-DISP-02</t>
  </si>
  <si>
    <t xml:space="preserve">T-09</t>
  </si>
  <si>
    <t xml:space="preserve">Display táp és akkumulátor</t>
  </si>
  <si>
    <t xml:space="preserve">TP4056 töltő, P-MOSFET (AO3401A) tápútválasztó, TLV75733 LDO</t>
  </si>
  <si>
    <t xml:space="preserve">Egy cellás LiPo töltése USB-ről; az USB-kapocs átveszi a terhelést; alacsony nyugalmi áramú LDO.</t>
  </si>
  <si>
    <t xml:space="preserve">Töltő-power-path IC (pl. BQ24074), nagyobb LDO</t>
  </si>
  <si>
    <t xml:space="preserve">display leírás 3.2</t>
  </si>
  <si>
    <t xml:space="preserve">T-10</t>
  </si>
  <si>
    <t xml:space="preserve">Akkumulátorvédelem</t>
  </si>
  <si>
    <t xml:space="preserve">Védelem nélküli lap; csak beépített védőáramkörös 1S LiPo cella használható</t>
  </si>
  <si>
    <t xml:space="preserve">Helyhiány a kör alakú NYÁK-on; a cella védőpanelje a BTR− ágban.</t>
  </si>
  <si>
    <t xml:space="preserve">DW01A + FS8205 a lapon</t>
  </si>
  <si>
    <t xml:space="preserve">display leírás 3.4</t>
  </si>
  <si>
    <t xml:space="preserve">T-11</t>
  </si>
  <si>
    <t xml:space="preserve">NYÁK felépítés</t>
  </si>
  <si>
    <t xml:space="preserve">4 rétegű, JLC04161H-7628</t>
  </si>
  <si>
    <t xml:space="preserve">Impedancia és földsík a QSPI és az RF részhez.</t>
  </si>
  <si>
    <t xml:space="preserve">2 rétegű</t>
  </si>
  <si>
    <t xml:space="preserve">display leírás 4.1</t>
  </si>
  <si>
    <t xml:space="preserve">T-12</t>
  </si>
  <si>
    <t xml:space="preserve">ESP-IDF VS Code-ban, közös komponens egy GitHub-repóban</t>
  </si>
  <si>
    <t xml:space="preserve">Egységes ISO-TP/csomagformátum a két projekt között, verziókövetés.</t>
  </si>
  <si>
    <t xml:space="preserve">Arduino, PlatformIO</t>
  </si>
  <si>
    <t xml:space="preserve">T-14</t>
  </si>
  <si>
    <t xml:space="preserve">Display ébresztés</t>
  </si>
  <si>
    <t xml:space="preserve">Light sleep + időzített BLE szkennelés; az OBD gyorsan hirdet az ébresztéshez</t>
  </si>
  <si>
    <t xml:space="preserve">Deep sleep alatt a BLE nem működik; light sleepben igen. A szkennelés kis kitöltése alacsony átlagáram.</t>
  </si>
  <si>
    <t xml:space="preserve">Deep sleep + érintés, ESP-NOW wake window</t>
  </si>
  <si>
    <t xml:space="preserve">funkciólista F-DISP-07</t>
  </si>
  <si>
    <t xml:space="preserve">T-15</t>
  </si>
  <si>
    <t xml:space="preserve">Médiavezérlés</t>
  </si>
  <si>
    <t xml:space="preserve">iOS: Apple Media Service (BLE GATT kliens) + opcionális HID médiabillentyűk; AVRCP nem</t>
  </si>
  <si>
    <t xml:space="preserve">Az ESP32-S3 csak BLE-t támogat, az AVRCP Bluetooth Classic.</t>
  </si>
  <si>
    <t xml:space="preserve">AVRCP (csak klasszikus ESP32), Spotify Web API</t>
  </si>
  <si>
    <t xml:space="preserve">funkciólista F-DISP-06</t>
  </si>
  <si>
    <t xml:space="preserve">T-16</t>
  </si>
  <si>
    <t xml:space="preserve">PID-lekérdezés</t>
  </si>
  <si>
    <t xml:space="preserve">Rétegezett ütemező: RPM/sebesség minden ciklusban, lassú értékek ritkábban; induláskor támogatott PID-ek lekérdezése</t>
  </si>
  <si>
    <t xml:space="preserve">A busz és az ECU válaszideje korlátos; a lassan változó értékeket felesleges gyakran kérdezni.</t>
  </si>
  <si>
    <t xml:space="preserve">Mind egyforma gyakorisággal, több PID egy kérésben</t>
  </si>
  <si>
    <t xml:space="preserve">Szoftver lap</t>
  </si>
  <si>
    <t xml:space="preserve">T-17</t>
  </si>
  <si>
    <t xml:space="preserve">Display → OBD üzenetek</t>
  </si>
  <si>
    <t xml:space="preserve">Felfelé menő üzenetek: READY/ACK (ébredés után), HEARTBEAT (a display él), KÉRÉS (VIN, hibakód olvasás/törlés, PID-profil), ALVÁS-JELZÉS; a telemetria nem igényel visszaigazolást</t>
  </si>
  <si>
    <t xml:space="preserve">A display főleg vevő; az ESP-NOW nem UDP, de unicastnál van MAC-szintű visszaigazolás és újraküldés, így a telemetriához nem kell alkalmazásszintű ACK.</t>
  </si>
  <si>
    <t xml:space="preserve">Minden csomag alkalmazásszintű ACK-kal</t>
  </si>
  <si>
    <t xml:space="preserve">Szoftver lap S-20</t>
  </si>
  <si>
    <t xml:space="preserve">T-18</t>
  </si>
  <si>
    <t xml:space="preserve">VIN és márkalogó</t>
  </si>
  <si>
    <t xml:space="preserve">VIN lekérés Mode 09 PID 02-vel (többkeretes ISO-TP), a gyártó a WMI-ből (első 3 karakter) táblázatból; ismeretlen WMI esetén általános logó</t>
  </si>
  <si>
    <t xml:space="preserve">Általános működés bármilyen autóval; a VIN nem minden autón érhető el, ezért tartalék kell. ESP-NOW-n a VIN csak titkosítva menjen.</t>
  </si>
  <si>
    <t xml:space="preserve">Kézi márkaválasztás</t>
  </si>
  <si>
    <t xml:space="preserve">T-19</t>
  </si>
  <si>
    <t xml:space="preserve">Tesztkörnyezet</t>
  </si>
  <si>
    <t xml:space="preserve">Asztali CAN-tesztpad: ESP32-S2 (ECU-szimulátor) ↔ CAN ↔ ESP32-C3 SuperMini (OBD node) ↔ ESP-NOW/BLE ↔ ESP32-S3 (display)</t>
  </si>
  <si>
    <t xml:space="preserve">Autó nélkül is ismételhető tesztek (PID-ek, VIN többkeretesen, buszalvás/ébredés); a szimulátor reprodukálható mérési feltételeket ad a 5. fejezethez.</t>
  </si>
  <si>
    <t xml:space="preserve">Csak járműves tesztek</t>
  </si>
  <si>
    <t xml:space="preserve">Szoftver lap S-21</t>
  </si>
  <si>
    <t xml:space="preserve">T-13</t>
  </si>
  <si>
    <t xml:space="preserve">OBD key-on érzékelés</t>
  </si>
  <si>
    <t xml:space="preserve">Light sleep + időzítős ébredés, RX-GPIO ébresztés listen-only ablakban (H-11 miatt)</t>
  </si>
  <si>
    <t xml:space="preserve">Az SN65HVD231 sleep módban nem ébreszt busz-forgalomra.</t>
  </si>
  <si>
    <t xml:space="preserve">Külső busz-ébresztő áramkör, VBAT-figyelés ADC-vel (a jelenlegi NYÁK-on nincs)</t>
  </si>
  <si>
    <t xml:space="preserve">T-20</t>
  </si>
  <si>
    <t xml:space="preserve">Szakdolgozat szerkezete</t>
  </si>
  <si>
    <t xml:space="preserve">BSc, 40–55 oldal; hardver, szoftver, teszt egyenként ≈ 25–30 %; hosszú leírások mellékletbe</t>
  </si>
  <si>
    <t xml:space="preserve">Az egyetemi sablon és a mikrovezérlős/szoftveres javaslat arányai</t>
  </si>
  <si>
    <t xml:space="preserve">Két külön dolgozat; FOSZK útmutató formázása</t>
  </si>
  <si>
    <t xml:space="preserve">szd sablon, 2. fejezet</t>
  </si>
  <si>
    <t xml:space="preserve">T-21</t>
  </si>
  <si>
    <t xml:space="preserve">Hivatkozási stílus</t>
  </si>
  <si>
    <t xml:space="preserve">Számozott, szögletes zárójeles [n], ábécésorrendű irodalomjegyzék</t>
  </si>
  <si>
    <t xml:space="preserve">Az egyetemi sablon előírása</t>
  </si>
  <si>
    <t xml:space="preserve">SZERZŐ (év) stílus (FOSZK útmutató)</t>
  </si>
  <si>
    <t xml:space="preserve">szd sablon 2.4</t>
  </si>
  <si>
    <t xml:space="preserve">Kérdés</t>
  </si>
  <si>
    <t xml:space="preserve">Hogyan válaszolható meg</t>
  </si>
  <si>
    <t xml:space="preserve">Q-01</t>
  </si>
  <si>
    <t xml:space="preserve">Display</t>
  </si>
  <si>
    <t xml:space="preserve">Waveshare modul 16–18. lába GND-e? (a gyártó oldala nem sorolja fel)</t>
  </si>
  <si>
    <t xml:space="preserve">Modul kapcsolási rajza / méréssel</t>
  </si>
  <si>
    <t xml:space="preserve">Q-02</t>
  </si>
  <si>
    <t xml:space="preserve">Van-e I²C felhúzó a modulon? Külső felhúzó szükséges-e?</t>
  </si>
  <si>
    <t xml:space="preserve">Modul kapcsolási rajza / mérés</t>
  </si>
  <si>
    <t xml:space="preserve">Q-03</t>
  </si>
  <si>
    <t xml:space="preserve">CST816S I²C-címe a modulon (0x15 az adatlap szerint)</t>
  </si>
  <si>
    <t xml:space="preserve">I²C-szkenner a lapokkal</t>
  </si>
  <si>
    <t xml:space="preserve">Q-04</t>
  </si>
  <si>
    <t xml:space="preserve">Az FFC kábel érintkezési oldala illik-e az alsó érintkezős J2-höz?</t>
  </si>
  <si>
    <t xml:space="preserve">Kábel és aljzat szemrevételezése a megérkezéskor</t>
  </si>
  <si>
    <t xml:space="preserve">Q-05</t>
  </si>
  <si>
    <t xml:space="preserve">QSPI órajel: 40 MHz stabil-e, kell-e soros lezárás?</t>
  </si>
  <si>
    <t xml:space="preserve">Jelminőség-mérés, ESP-IDF teszt</t>
  </si>
  <si>
    <t xml:space="preserve">Q-06</t>
  </si>
  <si>
    <t xml:space="preserve">OBD</t>
  </si>
  <si>
    <t xml:space="preserve">Kapocsfeszültség a TVS-nél és a buck bemenetén tranziensekkor</t>
  </si>
  <si>
    <t xml:space="preserve">Oszcilloszkópos mérés / szimuláció</t>
  </si>
  <si>
    <t xml:space="preserve">Q-07</t>
  </si>
  <si>
    <t xml:space="preserve">Alvóáram a járművön (cél ≤ 1 mA @ 12 V)</t>
  </si>
  <si>
    <t xml:space="preserve">Árammérés</t>
  </si>
  <si>
    <t xml:space="preserve">Q-08</t>
  </si>
  <si>
    <t xml:space="preserve">Szoftver</t>
  </si>
  <si>
    <t xml:space="preserve">Telefon típusa a médiavezérléshez: iOS elsődleges, a cél az általános működés</t>
  </si>
  <si>
    <t xml:space="preserve">Felhasználó (2026-10-17)</t>
  </si>
  <si>
    <t xml:space="preserve">Megválaszolt</t>
  </si>
  <si>
    <t xml:space="preserve">Q-09</t>
  </si>
  <si>
    <t xml:space="preserve">A kijelző táplálása: USB és akkumulátor, az USB nem mindig van bedugva, ezért vezeték nélküli ébresztés kell</t>
  </si>
  <si>
    <t xml:space="preserve">Q-11</t>
  </si>
  <si>
    <t xml:space="preserve">Hogyan viselkedik a CAN-busz a saját autón (key-on, ajtónyitás, key-off, buszalvás): kockák időzítése, buszalvás ideje?</t>
  </si>
  <si>
    <t xml:space="preserve">Listen-only naplózás a saját node-dal</t>
  </si>
  <si>
    <t xml:space="preserve">Q-12</t>
  </si>
  <si>
    <t xml:space="preserve">Működik-e stabilan az ESP-NOW vétel a telefonnal összekötött BLE mellett (H-16)?</t>
  </si>
  <si>
    <t xml:space="preserve">Korai prototípus-teszt</t>
  </si>
  <si>
    <t xml:space="preserve">Q-13</t>
  </si>
  <si>
    <t xml:space="preserve">BLE light sleep átlagáram a fő XTAL mint alacsony fogyasztású óra mellett, 15 ms / 1,5 s szkennelésnél</t>
  </si>
  <si>
    <t xml:space="preserve">Árammérés a megérkezett lapon</t>
  </si>
  <si>
    <t xml:space="preserve">Q-14</t>
  </si>
  <si>
    <t xml:space="preserve">Teszt</t>
  </si>
  <si>
    <t xml:space="preserve">Asztali CAN-teszt: két SN65HVD230 modul (hestore CAN-TTL), ESP32-S2 mini mint ECU-szimulátor, ESP32-C3 SuperMini mint OBD node. Modulok tápfeszültsége és lezáró ellenállása ellenőrizendő.</t>
  </si>
  <si>
    <t xml:space="preserve">Felhasználó (2026-10-18)</t>
  </si>
  <si>
    <t xml:space="preserve">Q-15</t>
  </si>
  <si>
    <t xml:space="preserve">ESP32-S3-WROOM-1-N16R8 devkit (16 MB flash, 8 MB PSRAM, két USB-C). Az octal PSRAM a modulnevezés alapján feltételezett, a rendszerindítási naplóból ellenőrizendő.</t>
  </si>
  <si>
    <t xml:space="preserve">Q-16</t>
  </si>
  <si>
    <t xml:space="preserve">Márkalogók forrása és jogi helyzete (védjegy): a dolgozatban demonstrációs célra használhatók-e, vagy saját stilizált jelzések kellenek?</t>
  </si>
  <si>
    <t xml:space="preserve">Konzulens / saját mérlegelés</t>
  </si>
  <si>
    <t xml:space="preserve">Q-17</t>
  </si>
  <si>
    <t xml:space="preserve">Dolgozat</t>
  </si>
  <si>
    <t xml:space="preserve">Sablon és formai követelmények: egyetem, kar, szak; a Scribd-sablon nem tölthető le, fájlként vagy szövegként kell átadni.</t>
  </si>
  <si>
    <t xml:space="preserve">Felhasználó</t>
  </si>
  <si>
    <t xml:space="preserve">Q-10</t>
  </si>
  <si>
    <t xml:space="preserve">Gyártás</t>
  </si>
  <si>
    <t xml:space="preserve">Gerber újraexportálás a legfrissebb .kicad_pcb-ből megtörtént-e?</t>
  </si>
  <si>
    <t xml:space="preserve">Q-18</t>
  </si>
  <si>
    <t xml:space="preserve">Min. 15–20 irodalmi forrás, ebből legalább 5 idegen nyelvű; a szakirodalom a dolgozat ≥ 1/3-a; jelenleg 12 forrás (adatlapok)</t>
  </si>
  <si>
    <t xml:space="preserve">Szakirodalom bővítése (CAN/OBD-II, ESP-NOW, energiatakarékosság)</t>
  </si>
  <si>
    <t xml:space="preserve">Q-19</t>
  </si>
  <si>
    <t xml:space="preserve">Egyoldalas angol/német összefoglaló és ábrajegyzék szükséges</t>
  </si>
  <si>
    <t xml:space="preserve">Összefoglalás megírásakor</t>
  </si>
  <si>
    <t xml:space="preserve">Q-20</t>
  </si>
  <si>
    <t xml:space="preserve">Irodalomjegyzék tételeinél az adatlapok kiadási éve és megtekintési dátuma kitöltendő</t>
  </si>
  <si>
    <t xml:space="preserve">Adatlapok újbóli megnyitásával</t>
  </si>
  <si>
    <t xml:space="preserve">Q-21</t>
  </si>
  <si>
    <t xml:space="preserve">Ház</t>
  </si>
  <si>
    <t xml:space="preserve">Házak tervezése (CAD-program, PLA próbanyomat, később ABS/ASA); a Blender helyett paraméteres CAD (pl. FreeCAD) mérlegelendő</t>
  </si>
  <si>
    <t xml:space="preserve">Alkatrészek megérkezése után</t>
  </si>
  <si>
    <t xml:space="preserve">Q-22</t>
  </si>
  <si>
    <t xml:space="preserve">Beszerzés</t>
  </si>
  <si>
    <t xml:space="preserve">OBD-csatlakozó és CAN-modul összekötése forrasztás nélkül (csavaros kivezetés / vezetékes J1962 dugó); két alkatrész szállítása 10–15 munkanap</t>
  </si>
  <si>
    <t xml:space="preserve">Rendelés előtt egyeztetni</t>
  </si>
  <si>
    <t xml:space="preserve">Q-23</t>
  </si>
  <si>
    <t xml:space="preserve">A CAN-TTL modulon a képen R3 (jelölés 121 = 120 Ω) köti össze H és L vonalat: járműben az eltávolítása szükséges (40 Ω helyett 60 Ω); padon két modullal 60 Ω. Beérkezéskor ellenőrizni (multiméterrel, feszültségmentesen), és a csavaros kivezetés megléte is</t>
  </si>
  <si>
    <t xml:space="preserve">Modul beérkezése után</t>
  </si>
  <si>
    <t xml:space="preserve">Q-24</t>
  </si>
  <si>
    <t xml:space="preserve">Mérőeszköz</t>
  </si>
  <si>
    <t xml:space="preserve">Logikai analizátor (8 csatorna, 24 MHz, Saleae-kompatibilis): digitális jelekre (CAN RX/TX, I²C, ESP-NOW késleltetés GPIO-jelzéssel) elég; a 40 MHz-es QSPI és az analóg mérések (ripple, tápútváltás) nem. Oszcilloszkóp: laborban vagy később</t>
  </si>
  <si>
    <t xml:space="preserve">Eszközválasztás</t>
  </si>
  <si>
    <t xml:space="preserve">Q-25</t>
  </si>
  <si>
    <t xml:space="preserve">1. fejezet: [FORRÁS KELL] jelölések (OBD-II/EOBD bevezetés időpontjai, CAN kötelezővé tétele, ISO 15765-4 sebességek és P2 idő, BLE/ESP-NOW számértékek, piaci megoldások); könyvhivatkozások (Johnson, Ott) oldalszámai; az irodalomjegyzék megtekintési dátumai</t>
  </si>
  <si>
    <t xml:space="preserve">Források ellenőrzése a szerzővel</t>
  </si>
  <si>
    <t xml:space="preserve">Projekt</t>
  </si>
  <si>
    <t xml:space="preserve">Funkció</t>
  </si>
  <si>
    <t xml:space="preserve">Prioritás</t>
  </si>
  <si>
    <t xml:space="preserve">Nehézség</t>
  </si>
  <si>
    <t xml:space="preserve">Megjegyzés</t>
  </si>
  <si>
    <t xml:space="preserve">Funkciólista</t>
  </si>
  <si>
    <t xml:space="preserve">S-01</t>
  </si>
  <si>
    <t xml:space="preserve">Közös</t>
  </si>
  <si>
    <t xml:space="preserve">Csomagformátum + verzió + sorszám (közös komponens)</t>
  </si>
  <si>
    <t xml:space="preserve">P1</t>
  </si>
  <si>
    <t xml:space="preserve">Könnyű</t>
  </si>
  <si>
    <t xml:space="preserve">Mindkét projekt ezt használja; CRC16 helyett sorszám és verzió.</t>
  </si>
  <si>
    <t xml:space="preserve">S-02</t>
  </si>
  <si>
    <t xml:space="preserve">TWAI + protokollkeresés (500/250 kbps, 11/29 bit), támogatott PID-ek (01 00/20/40)</t>
  </si>
  <si>
    <t xml:space="preserve">Listen-only hallgatás, majd 01 00 kérés; fizikai címzés (0x7E0) a felfedezés után.</t>
  </si>
  <si>
    <t xml:space="preserve">F-OBD-01</t>
  </si>
  <si>
    <t xml:space="preserve">S-03</t>
  </si>
  <si>
    <t xml:space="preserve">PID-ütemező (rétegelt)</t>
  </si>
  <si>
    <t xml:space="preserve">Lásd PID-terv lent.</t>
  </si>
  <si>
    <t xml:space="preserve">F-OBD-02</t>
  </si>
  <si>
    <t xml:space="preserve">S-04</t>
  </si>
  <si>
    <t xml:space="preserve">Telemetria-adás ESP-NOW-n (rögzített csatorna)</t>
  </si>
  <si>
    <t xml:space="preserve">10–20 Hz, a kész ciklusokhoz igazítva.</t>
  </si>
  <si>
    <t xml:space="preserve">F-OBD-04</t>
  </si>
  <si>
    <t xml:space="preserve">S-05</t>
  </si>
  <si>
    <t xml:space="preserve">ST77916 QSPI + háttérvilágítás-PWM</t>
  </si>
  <si>
    <t xml:space="preserve">esp_lcd_st77916 komponens; 40 MHz-ről indulni.</t>
  </si>
  <si>
    <t xml:space="preserve">F-DISP-01</t>
  </si>
  <si>
    <t xml:space="preserve">S-06</t>
  </si>
  <si>
    <t xml:space="preserve">LVGL + esp_lvgl_port, részleges frissítés, TE</t>
  </si>
  <si>
    <t xml:space="preserve">Belső SRAM puffer, a teljes képkocka PSRAM-ban.</t>
  </si>
  <si>
    <t xml:space="preserve">F-DISP-02</t>
  </si>
  <si>
    <t xml:space="preserve">S-07</t>
  </si>
  <si>
    <t xml:space="preserve">ESP-NOW vétel + sor + simítás</t>
  </si>
  <si>
    <t xml:space="preserve">Könnyű–közepes</t>
  </si>
  <si>
    <t xml:space="preserve">Callback rövid, adat queue-ba; sorszám-ellenőrzés.</t>
  </si>
  <si>
    <t xml:space="preserve">F-DISP-05</t>
  </si>
  <si>
    <t xml:space="preserve">S-08</t>
  </si>
  <si>
    <t xml:space="preserve">Műszerfal-nézet (RPM mutató, sebesség, MIL, hűtővíz)</t>
  </si>
  <si>
    <t xml:space="preserve">LVGL animáció a 10 Hz-es adat közt.</t>
  </si>
  <si>
    <t xml:space="preserve">F-DISP-04</t>
  </si>
  <si>
    <t xml:space="preserve">S-09</t>
  </si>
  <si>
    <t xml:space="preserve">CST816S érintő + gesztusok</t>
  </si>
  <si>
    <t xml:space="preserve">P2</t>
  </si>
  <si>
    <t xml:space="preserve">Reset-impulzus, alvás-letiltás; 100 kHz I²C.</t>
  </si>
  <si>
    <t xml:space="preserve">F-DISP-03</t>
  </si>
  <si>
    <t xml:space="preserve">S-10</t>
  </si>
  <si>
    <t xml:space="preserve">Másodlagos nézet (telemetria részletek)</t>
  </si>
  <si>
    <t xml:space="preserve">S-11</t>
  </si>
  <si>
    <t xml:space="preserve">Akkumulátor-mérés (IO7 ADC) és töltöttség %</t>
  </si>
  <si>
    <t xml:space="preserve">Töltés közben a feszültségből számolt % pontatlan.</t>
  </si>
  <si>
    <t xml:space="preserve">F-DISP-07</t>
  </si>
  <si>
    <t xml:space="preserve">S-12</t>
  </si>
  <si>
    <t xml:space="preserve">Light sleep + időzített busz-figyelés + key-on ébredés</t>
  </si>
  <si>
    <t xml:space="preserve">Közepes–nehéz</t>
  </si>
  <si>
    <t xml:space="preserve">Lásd H-11, V-12; méréssel finomítandó.</t>
  </si>
  <si>
    <t xml:space="preserve">F-OBD-03</t>
  </si>
  <si>
    <t xml:space="preserve">S-13</t>
  </si>
  <si>
    <t xml:space="preserve">BLE ébresztő hirdetés (OBD) + BLE szkennelés (display) + átváltás</t>
  </si>
  <si>
    <t xml:space="preserve">Nehéz</t>
  </si>
  <si>
    <t xml:space="preserve">Lásd H-15, H-16.</t>
  </si>
  <si>
    <t xml:space="preserve">S-14</t>
  </si>
  <si>
    <t xml:space="preserve">iOS médiavezérlés: Apple Media Service</t>
  </si>
  <si>
    <t xml:space="preserve">P3</t>
  </si>
  <si>
    <t xml:space="preserve">Párosítás/bonding, metaadatok, vezérlés.</t>
  </si>
  <si>
    <t xml:space="preserve">F-DISP-06</t>
  </si>
  <si>
    <t xml:space="preserve">S-15</t>
  </si>
  <si>
    <t xml:space="preserve">BLE HID médiabillentyűk (Android-tartalék)</t>
  </si>
  <si>
    <t xml:space="preserve">Csak vezérlés, metaadat nélkül.</t>
  </si>
  <si>
    <t xml:space="preserve">S-16</t>
  </si>
  <si>
    <t xml:space="preserve">Hibakódolvasás (Mode 03, 01 01 DTC-szám), törlés megerősítéssel</t>
  </si>
  <si>
    <t xml:space="preserve">Többkeretes ISO-TP szükséges (flow control).</t>
  </si>
  <si>
    <t xml:space="preserve">S-18</t>
  </si>
  <si>
    <t xml:space="preserve">VIN lekérés (Mode 09 PID 02) minden indításnál; támogatás ellenőrzése 09 00-val</t>
  </si>
  <si>
    <t xml:space="preserve">Többkeretes ISO-TP (flow control) kell; nem minden autó adja ki.</t>
  </si>
  <si>
    <t xml:space="preserve">S-19</t>
  </si>
  <si>
    <t xml:space="preserve">Márkafelismerés WMI-ből, logó és egyszerű indulási animáció</t>
  </si>
  <si>
    <t xml:space="preserve">Logótábla a flashben; ismeretlen WMI esetén általános logó.</t>
  </si>
  <si>
    <t xml:space="preserve">S-20</t>
  </si>
  <si>
    <t xml:space="preserve">Display → OBD üzenetkészlet (READY, HEARTBEAT, KÉRÉS, ALVÁS)</t>
  </si>
  <si>
    <t xml:space="preserve">A közös komponens része, verziózott.</t>
  </si>
  <si>
    <t xml:space="preserve">S-21</t>
  </si>
  <si>
    <t xml:space="preserve">ECU-szimulátor ESP32-S2-n: PID-válaszok (0C, 0D, 05, 11, 42, 01, 00), VIN többkeretesen flow controllal, hibakódok, buszforgalom be/ki a buszalvás és ébredés teszteléséhez</t>
  </si>
  <si>
    <t xml:space="preserve">Az S-12 és S-18 teszteléséhez kell; az S2-n nincs BLE.</t>
  </si>
  <si>
    <t xml:space="preserve">S-17</t>
  </si>
  <si>
    <t xml:space="preserve">Média nézet UI</t>
  </si>
  <si>
    <t xml:space="preserve">S-14/S-15 után.</t>
  </si>
  <si>
    <t xml:space="preserve">PID-terv (kezdőértékek; az autón mérendő)</t>
  </si>
  <si>
    <t xml:space="preserve">PID</t>
  </si>
  <si>
    <t xml:space="preserve">Jel</t>
  </si>
  <si>
    <t xml:space="preserve">Gyakoriság (Hz)</t>
  </si>
  <si>
    <t xml:space="preserve">01 0C</t>
  </si>
  <si>
    <t xml:space="preserve">Fordulatszám</t>
  </si>
  <si>
    <t xml:space="preserve">Minden ciklusban</t>
  </si>
  <si>
    <t xml:space="preserve">01 0D</t>
  </si>
  <si>
    <t xml:space="preserve">Sebesség</t>
  </si>
  <si>
    <t xml:space="preserve">Lassabban változik, mint az RPM; minden 2. ciklusban</t>
  </si>
  <si>
    <t xml:space="preserve">01 11</t>
  </si>
  <si>
    <t xml:space="preserve">Fojtószelep</t>
  </si>
  <si>
    <t xml:space="preserve">Másodlagos nézethez; nem minden ECU ismeri</t>
  </si>
  <si>
    <t xml:space="preserve">01 05</t>
  </si>
  <si>
    <t xml:space="preserve">Hűtővíz hőmérséklet</t>
  </si>
  <si>
    <t xml:space="preserve">Lassan változik</t>
  </si>
  <si>
    <t xml:space="preserve">01 42</t>
  </si>
  <si>
    <t xml:space="preserve">ECU/akkumulátor feszültség</t>
  </si>
  <si>
    <t xml:space="preserve">Lassan változik; nem minden autó</t>
  </si>
  <si>
    <t xml:space="preserve">01 01</t>
  </si>
  <si>
    <t xml:space="preserve">MIL és hibakód-szám</t>
  </si>
  <si>
    <t xml:space="preserve">5 másodpercenként</t>
  </si>
  <si>
    <t xml:space="preserve">01 00/20/40</t>
  </si>
  <si>
    <t xml:space="preserve">Támogatott PID-ek</t>
  </si>
  <si>
    <t xml:space="preserve">Csak induláskor (0 = egyszer)</t>
  </si>
  <si>
    <t xml:space="preserve">Összes kérés/s</t>
  </si>
  <si>
    <t xml:space="preserve">Feltételezett idő kérésenként (ms)</t>
  </si>
  <si>
    <t xml:space="preserve">Feltevés (ECU válasz ≤ 50 ms az előírás szerint); a saját autón mérendő</t>
  </si>
  <si>
    <t xml:space="preserve">Busz-/időkihasználtság</t>
  </si>
  <si>
    <t xml:space="preserve">Ha &gt; 100%, a gyakoriságokat csökkenteni kell</t>
  </si>
  <si>
    <t xml:space="preserve">Forrás (az irodalomjegyzék szerint)</t>
  </si>
  <si>
    <t xml:space="preserve">Típus</t>
  </si>
  <si>
    <t xml:space="preserve">Hol hivatkozom (pont)</t>
  </si>
  <si>
    <t xml:space="preserve">Mire használom a dolgozatban</t>
  </si>
  <si>
    <t xml:space="preserve">Mit kell ellenőrizni / teendő</t>
  </si>
  <si>
    <t xml:space="preserve">Állapot</t>
  </si>
  <si>
    <t xml:space="preserve">ao3401a</t>
  </si>
  <si>
    <t xml:space="preserve">ALPHA &amp; OMEGA SEMICONDUCTOR: AO3401A 30 V P-Channel Enhancement Mode MOSFET. Adatlap. https://aosmd.com/sites/default/files/res/data_sheets/AO3401A.pdf Megtekintés dátuma: [kitöltendő]</t>
  </si>
  <si>
    <t xml:space="preserve">2.4.2, 2.7</t>
  </si>
  <si>
    <t xml:space="preserve">A P-FET kapcsolási adatai (R_DS(on), V_GS(th), lábkiosztás 1=G, 2=S, 3=D).</t>
  </si>
  <si>
    <t xml:space="preserve">Nyisd meg, nézd meg a V_GS(th) és R_DS(on) értékeket és a lábkiosztást; írd be a megtekintés dátumát.</t>
  </si>
  <si>
    <t xml:space="preserve">Megtekintési dátum: kitöltendő</t>
  </si>
  <si>
    <t xml:space="preserve">bosch</t>
  </si>
  <si>
    <t xml:space="preserve">BOSCH, R.: CAN Specification, Version 2.0. Robert Bosch GmbH, Stuttgart, 1991.</t>
  </si>
  <si>
    <t xml:space="preserve">Szabvány-specifikáció</t>
  </si>
  <si>
    <t xml:space="preserve">1.2</t>
  </si>
  <si>
    <t xml:space="preserve">A CAN eredete és működése.</t>
  </si>
  <si>
    <t xml:space="preserve">Keress rá: „Bosch CAN Specification 2.0 pdf”. Ha nincs hozzáférésed, elég a TI ismertető (sloa101); ekkor ezt a tételt töröld a szövegből.</t>
  </si>
  <si>
    <t xml:space="preserve">davis</t>
  </si>
  <si>
    <t xml:space="preserve">DAVIS, R. I. – BURNS, A. – BRIL, R. J. – LUKKIEN, J. J.: Controller Area Network (CAN) schedulability analysis: Refuted, revisited and revised. Real-Time Systems 35 (3) 2007. pp. 239–272. [Oldalszámok ellenőrzendők]</t>
  </si>
  <si>
    <t xml:space="preserve">Folyóiratcikk (idegen nyelvű)</t>
  </si>
  <si>
    <t xml:space="preserve">A 8 bájtos CAN-keret legfeljebb kb. 135 bit hosszú bitbeszúrással.</t>
  </si>
  <si>
    <t xml:space="preserve">Keress rá: „Davis Burns Bril Lukkien Controller Area Network schedulability analysis refuted revisited revised”. Ellenőrizd a 135 bites értéket és az oldalszámokat.</t>
  </si>
  <si>
    <t xml:space="preserve">elm327</t>
  </si>
  <si>
    <t xml:space="preserve">ELM ELECTRONICS: ELM327 OBD to RS232 Interpreter. Adatlap. https://cdn.sparkfun.com/assets/learn_tutorials/8/3/datasheet.pdf (másolat) Megtekintés dátuma: [kitöltendő]</t>
  </si>
  <si>
    <t xml:space="preserve">1.3, 1.5</t>
  </si>
  <si>
    <t xml:space="preserve">Az ELM327 működése, protokolljai, soros sebessége.</t>
  </si>
  <si>
    <t xml:space="preserve">A gyártó (elmelectronics.com) saját datasheetjét keresd meg; ha megvan, cseréld a másolat linkjét a hivatalosra.</t>
  </si>
  <si>
    <t xml:space="preserve">espidf</t>
  </si>
  <si>
    <t xml:space="preserve">ESPRESSIF SYSTEMS: ESP-IDF Programming Guide. https://docs.espressif.com/projects/esp-idf/ Megtekintés dátuma: [kitöltendő]</t>
  </si>
  <si>
    <t xml:space="preserve">Gyártói dokumentáció</t>
  </si>
  <si>
    <t xml:space="preserve">1.4, 2.2.1</t>
  </si>
  <si>
    <t xml:space="preserve">ESP-NOW működése, a 250 bájtos korlát, titkosított társak, koegzisztencia.</t>
  </si>
  <si>
    <t xml:space="preserve">Nyisd meg az ESP-NOW és a Coexistence oldalakat, ellenőrizd a 250 bájtot és a BLE-vel való korlátozást; kösd a használt ESP-IDF verzióhoz.</t>
  </si>
  <si>
    <t xml:space="preserve">c3</t>
  </si>
  <si>
    <t xml:space="preserve">ESPRESSIF SYSTEMS: ESP32-C3-WROOM-02 Datasheet. https://www.espressif.com/sites/default/files/documentation/esp32-c3-wroom-02_datasheet_en.pdf Megtekintés dátuma: [kitöltendő]</t>
  </si>
  <si>
    <t xml:space="preserve">1.4, 2.2.2, 2.3.4</t>
  </si>
  <si>
    <t xml:space="preserve">ESP32-C3 áramfelvétel: light sleep 130 µA, deep sleep 5 µA, modem sleep 16–28 mA; TWAI.</t>
  </si>
  <si>
    <t xml:space="preserve">A 6.4.2. és 6.4.1. szakaszok táblázatai. A link a gyártó oldalára irányít át (documentation.espressif.com), használd azt.</t>
  </si>
  <si>
    <t xml:space="preserve">s3</t>
  </si>
  <si>
    <t xml:space="preserve">ESPRESSIF SYSTEMS: ESP32-S3-WROOM-1 and ESP32-S3-WROOM-1U Datasheet. https://www.espressif.com/sites/default/files/documentation/esp32-s3-wroom-1_wroom-1u_datasheet_en.pdf Megtekintés dátuma: [kitöltendő]</t>
  </si>
  <si>
    <t xml:space="preserve">1.4, 2.2.2, 2.4</t>
  </si>
  <si>
    <t xml:space="preserve">ESP32-S3: nincs klasszikus Bluetooth, 8 MB PSRAM, light sleep / modem sleep áram.</t>
  </si>
  <si>
    <t xml:space="preserve">Ellenőrizd az áramfelvételi táblázatot és a PSRAM miatt korlátozott GPIO-k listáját.</t>
  </si>
  <si>
    <t xml:space="preserve">esphdg</t>
  </si>
  <si>
    <t xml:space="preserve">ESPRESSIF SYSTEMS: ESP Hardware Design Guidelines – ESP32-S3, PCB Layout Design. https://docs.espressif.com/projects/esp-hardware-design-guidelines/en/latest/esp32s3/pcb-layout-design.html Megtekintés dátuma: [kitöltendő]</t>
  </si>
  <si>
    <t xml:space="preserve">Gyártói útmutató</t>
  </si>
  <si>
    <t xml:space="preserve">1.6, 2.5</t>
  </si>
  <si>
    <t xml:space="preserve">NYÁK-elrendezési ajánlás: 4 réteg, földsík, USB 90 Ω, antenna a kártya szélén.</t>
  </si>
  <si>
    <t xml:space="preserve">Az ESP32-S3 verzió PCB Layout Design oldala. Ellenőrizd az idézett számokat (15 mm, 90 Ω).</t>
  </si>
  <si>
    <t xml:space="preserve">eu715</t>
  </si>
  <si>
    <t xml:space="preserve">EURÓPAI PARLAMENT ÉS TANÁCS: 715/2007/EK rendelet a személygépkocsik és könnyű haszongépjárművek kibocsátásának típusjóváhagyásáról (Euro 5 és Euro 6) és a javítási és karbantartási információkhoz való hozzáférésről (a 2012. június 4-i egységes szerkezetű angol szöveg). https://www.legislation.gov.uk/eur/2007/715/2012-06-04/data.html Megtekintés dátuma: [kitöltendő]</t>
  </si>
  <si>
    <t xml:space="preserve">Jogszabály</t>
  </si>
  <si>
    <t xml:space="preserve">1.1</t>
  </si>
  <si>
    <t xml:space="preserve">Az OBD definíciója (3. cikk 9.), a hozzáférés a javítási információkhoz (6. cikk), az alkalmazás kezdete.</t>
  </si>
  <si>
    <t xml:space="preserve">Magyar nyelvű változatot is megadhatsz az EUR-Lex-en (CELEX 32007R0715). Ellenőrizd a cikkszámokat.</t>
  </si>
  <si>
    <t xml:space="preserve">iso11898</t>
  </si>
  <si>
    <t xml:space="preserve">ISO 11898-2: Road vehicles – Controller area network (CAN) – Part 2: High-speed medium access unit. Kiadás éve: [kitöltendő]</t>
  </si>
  <si>
    <t xml:space="preserve">Szabvány</t>
  </si>
  <si>
    <t xml:space="preserve">A CAN fizikai rétege.</t>
  </si>
  <si>
    <t xml:space="preserve">Az egyetemi könyvtárban (MSZ szabvány) vagy az ISO oldalán nézd meg; ha csak a TI ismertető érhető el, a szöveget a szabvány címének említésével hagyd.</t>
  </si>
  <si>
    <t xml:space="preserve">iso15765</t>
  </si>
  <si>
    <t xml:space="preserve">ISO 15765-4: Road vehicles – Diagnostic communication over Controller Area Network (DoCAN) – Part 4: Requirements for emissions-related systems. Kiadás éve: [kitöltendő]</t>
  </si>
  <si>
    <t xml:space="preserve">1.3, 2.3.3</t>
  </si>
  <si>
    <t xml:space="preserve">500/250 kbit/s, 11/29 bit, címzés, P2 = 50 ms.</t>
  </si>
  <si>
    <t xml:space="preserve">Ezt a szabványt nehéz megszerezni; az egyetemi könyvtár vagy egy másodlagos forrás (pl. CSS Electronics, Vector ISO-TP/OBD2 leírás) segíthet. A P2 időzítés pontos értékét ellenőrizd.</t>
  </si>
  <si>
    <t xml:space="preserve">iso15765_2</t>
  </si>
  <si>
    <t xml:space="preserve">ISO 15765-2: Road vehicles – Diagnostic communication over Controller Area Network (DoCAN) – Part 2: Transport protocol and network layer services. Kiadás éve: [kitöltendő]</t>
  </si>
  <si>
    <t xml:space="preserve">1.3</t>
  </si>
  <si>
    <t xml:space="preserve">ISO-TP: Single/First/Consecutive/Flow Control kerettípusok.</t>
  </si>
  <si>
    <t xml:space="preserve">Mint az ISO 15765-4; a kerettípusokat több ingyenes leírásban (Wikipédia nem tudományos, ezért csak kiegészítésként) is megtalálod.</t>
  </si>
  <si>
    <t xml:space="preserve">iso3779</t>
  </si>
  <si>
    <t xml:space="preserve">ISO 3779: Road vehicles – Vehicle identification number (VIN) – Content and structure. Kiadás éve: [kitöltendő]</t>
  </si>
  <si>
    <t xml:space="preserve">A VIN felépítése, WMI = első 3 karakter.</t>
  </si>
  <si>
    <t xml:space="preserve">Szabvány, vagy másodlagos forrás a WMI-listáról.</t>
  </si>
  <si>
    <t xml:space="preserve">jlcpcb</t>
  </si>
  <si>
    <t xml:space="preserve">JLCPCB: PCB Manufacturing &amp; Assembly Capabilities. https://jlcpcb.com/capabilities/pcb-capabilities Megtekintés dátuma: [kitöltendő]</t>
  </si>
  <si>
    <t xml:space="preserve">Gyártói oldal</t>
  </si>
  <si>
    <t xml:space="preserve">1.6, 2.5, 2.7</t>
  </si>
  <si>
    <t xml:space="preserve">Gyártási paraméterek, a rendelés utólagos módosíthatatlansága.</t>
  </si>
  <si>
    <t xml:space="preserve">Ellenőrizd az oldal tartalmát; a rendelés módosítási szabályát a JLCPCB-vel váltott levelezésből is dokumentálhatod (melléklet).</t>
  </si>
  <si>
    <t xml:space="preserve">johnson</t>
  </si>
  <si>
    <t xml:space="preserve">JOHNSON, H. – GRAHAM, M.: High-Speed Digital Design: A Handbook of Black Magic. Prentice Hall, Upper Saddle River, 1993. [Hivatkozott oldalak kitöltendők]</t>
  </si>
  <si>
    <t xml:space="preserve">Szakkönyv</t>
  </si>
  <si>
    <t xml:space="preserve">1.6</t>
  </si>
  <si>
    <t xml:space="preserve">Visszatérő áram, hurokinduktivitás, elektromosan hosszú vezeték (t_pd &gt; t_r/6).</t>
  </si>
  <si>
    <t xml:space="preserve">Könyvtárból kérd el, keresd meg a fejezetet a földsíkról / transmission line-okról, és írd be a pontos oldalszámot.</t>
  </si>
  <si>
    <t xml:space="preserve">tp4056</t>
  </si>
  <si>
    <t xml:space="preserve">NANJING TOP POWER ASIC CORP.: TP4056 1A Standalone Linear Li-Ion Battery Charger. Adatlap. https://www.mikrocontroller.net/attachment/273612/TP4056.pdf (harmadik fél által tárolt másolat; gyártói oldal nem található) Megtekintés dátuma: [kitöltendő]</t>
  </si>
  <si>
    <t xml:space="preserve">2.4.2</t>
  </si>
  <si>
    <t xml:space="preserve">Töltőáram: I = 1200 / R_PROG, töltésbefejezés I_BAT &lt; I_CHG/10.</t>
  </si>
  <si>
    <t xml:space="preserve">A gyártó (NanJing Top Power) oldalát keresd; a link harmadik fél másolatára mutat.</t>
  </si>
  <si>
    <t xml:space="preserve">ott</t>
  </si>
  <si>
    <t xml:space="preserve">OTT, H. W.: Electromagnetic Compatibility Engineering. John Wiley &amp; Sons, Hoboken, 2009. [Hivatkozott oldalak kitöltendők]</t>
  </si>
  <si>
    <t xml:space="preserve">Visszatérő áram nagy frekvencián, EMC-elvek.</t>
  </si>
  <si>
    <t xml:space="preserve">Mint a Johnson könyvnél: fejezet és oldalszám.</t>
  </si>
  <si>
    <t xml:space="preserve">saej1962</t>
  </si>
  <si>
    <t xml:space="preserve">SAE INTERNATIONAL: SAE J1962 – Diagnostic Connector. [Kiadás éve és elérhetőség kitöltendő]</t>
  </si>
  <si>
    <t xml:space="preserve">J1962 csatlakozó lábkiosztása (6 = CANH, 14 = CANL, 16 = akkumulátor).</t>
  </si>
  <si>
    <t xml:space="preserve">Szabvány vagy hivatalos ábra; a lábkiosztást több gyártói leírás is mutatja, ellenőrizd.</t>
  </si>
  <si>
    <t xml:space="preserve">saej1979</t>
  </si>
  <si>
    <t xml:space="preserve">SAE INTERNATIONAL: SAE J1979 – E/E Diagnostic Test Modes. [Kiadás éve és elérhetőség kitöltendő]</t>
  </si>
  <si>
    <t xml:space="preserve">Mode 01 PID-ek és képleteik.</t>
  </si>
  <si>
    <t xml:space="preserve">A PID-képletek ellenőrzése szabványból vagy megbízható másodlagos forrásból.</t>
  </si>
  <si>
    <t xml:space="preserve">sloa101</t>
  </si>
  <si>
    <t xml:space="preserve">TEXAS INSTRUMENTS: Introduction to the Controller Area Network (CAN). Application Report SLOA101. https://www.ti.com/lit/SLOA101 Megtekintés dátuma: [kitöltendő]</t>
  </si>
  <si>
    <t xml:space="preserve">Alkalmazási ismertető (TI)</t>
  </si>
  <si>
    <t xml:space="preserve">CAN jelszintek, arbitráció, keretmezők, bitbeszúrás, hibakezelés, lezárás.</t>
  </si>
  <si>
    <t xml:space="preserve">A tartalmat a SLOA101A szövegéből ellenőriztem; a hivatkozás a mostani B változatra mutat, nézd meg, hogy a szöveg ott is megegyezik-e.</t>
  </si>
  <si>
    <t xml:space="preserve">lmr36006</t>
  </si>
  <si>
    <t xml:space="preserve">TEXAS INSTRUMENTS: LMR36006 adatlap, Layout Guidelines (SNVSB48C). https://www.ti.com/document-viewer/lit/html/SNVSB48C/layout-guidelines-snvsay71410 Megtekintés dátuma: [kitöltendő]</t>
  </si>
  <si>
    <t xml:space="preserve">Adatlap (elrendezési fejezet)</t>
  </si>
  <si>
    <t xml:space="preserve">Buck konverter elrendezési szabályai (forró hurok, SW-csomópont, FB).</t>
  </si>
  <si>
    <t xml:space="preserve">Az LMR36006 adatlap Layout fejezete; a szabályok a TPS54302-re is alkalmazhatók, ezt jelezd, és ha lehet, a TPS54302 saját layout fejezetét is említsd.</t>
  </si>
  <si>
    <t xml:space="preserve">sn65</t>
  </si>
  <si>
    <t xml:space="preserve">TEXAS INSTRUMENTS: SN65HVD230, SN65HVD231, SN65HVD232 3.3-V CAN Transceivers (SLOS346O, 2018. április). Adatlap. https://www.ti.com/document-viewer/SN65HVD230/datasheet Megtekintés dátuma: [kitöltendő]</t>
  </si>
  <si>
    <t xml:space="preserve">2.3.3</t>
  </si>
  <si>
    <t xml:space="preserve">Üzemmódok: standby/sleep, vevő viselkedése, lábkiosztás.</t>
  </si>
  <si>
    <t xml:space="preserve">SLOS346O: nézd át az RS láb táblázatát; hogy az SN65HVD231 alvó módjában a vevő kikapcsol.</t>
  </si>
  <si>
    <t xml:space="preserve">tlv</t>
  </si>
  <si>
    <t xml:space="preserve">TEXAS INSTRUMENTS: TLV757P 1-A, Low-IQ, Small-Size, Low-Dropout Voltage Regulator. Adatlap. https://www.ti.com/product/TLV757P Megtekintés dátuma: [kitöltendő]</t>
  </si>
  <si>
    <t xml:space="preserve">2.4.3</t>
  </si>
  <si>
    <t xml:space="preserve">TLV75733: 1 A, kiesés ≈ 200 mV @ 1 A.</t>
  </si>
  <si>
    <t xml:space="preserve">Ellenőrizd a kiesési feszültség és a hőellenállás (θ_JA) adatokat.</t>
  </si>
  <si>
    <t xml:space="preserve">tps54302</t>
  </si>
  <si>
    <t xml:space="preserve">TEXAS INSTRUMENTS: TPS54302 4.5-V to 28-V Input, 3-A Output, EMI Friendly Synchronous Step-Down Converter. Adatlap. https://www.ti.com/product/TPS54302 Megtekintés dátuma: [kitöltendő]</t>
  </si>
  <si>
    <t xml:space="preserve">2.3.2, 2.3.1</t>
  </si>
  <si>
    <t xml:space="preserve">Vref = 0,596 V, 400 kHz, bemeneti feszültségtartomány és abszolút maximum.</t>
  </si>
  <si>
    <t xml:space="preserve">Ellenőrizd a V_ref értékét és az abszolút maximális bemeneti feszültséget (TVS-méretezés).</t>
  </si>
  <si>
    <t xml:space="preserve">waveshare</t>
  </si>
  <si>
    <t xml:space="preserve">WAVESHARE: 1.85inch Touch LCD Module (SKU 35079). https://docs.waveshare.com/1.85inch_Touch_LCD_Module Megtekintés dátuma: [kitöltendő]</t>
  </si>
  <si>
    <t xml:space="preserve">2.4.1</t>
  </si>
  <si>
    <t xml:space="preserve">A kijelzőmodul adatai, FPC-kiosztás, vezérlők.</t>
  </si>
  <si>
    <t xml:space="preserve">A kiosztást vesd össze a J2-vel (16–18. láb), az I²C-címet és a felhúzókat nézd meg a kapcsolási rajzon.</t>
  </si>
  <si>
    <t xml:space="preserve">F-01</t>
  </si>
  <si>
    <t xml:space="preserve">OBD-II (kaliforniai szabályozás, 1996) és az EOBD európai bevezetése</t>
  </si>
  <si>
    <t xml:space="preserve">Hivatalos forrás</t>
  </si>
  <si>
    <t xml:space="preserve">Még hiányzó forrás ([FORRÁS KELL])</t>
  </si>
  <si>
    <t xml:space="preserve">Keress rá: „Directive 98/69/EC EOBD” és „CARB OBD II 1996 regulation”. A cél: a dátumok és a kötelezővé tétel hivatalos alátámasztása.</t>
  </si>
  <si>
    <t xml:space="preserve">F-02</t>
  </si>
  <si>
    <t xml:space="preserve">A CAN kötelezővé tétele az USA-ban és az EU-ban</t>
  </si>
  <si>
    <t xml:space="preserve">Keress rá: „Commission Regulation 692/2008 Annex XI ISO 15765-4” és „EPA OBD CAN requirement 2008”. A cél: az, hogy a modern járművek diagnosztikája CAN-alapú.</t>
  </si>
  <si>
    <t xml:space="preserve">F-03</t>
  </si>
  <si>
    <t xml:space="preserve">ISO 15765-4: sebességek (250/500 kbit/s) és a P2 válaszidő</t>
  </si>
  <si>
    <t xml:space="preserve">Szabvány vagy másodlagos forrás</t>
  </si>
  <si>
    <t xml:space="preserve">1.2, 1.3</t>
  </si>
  <si>
    <t xml:space="preserve">Szabvány az egyetemi könyvtárban, vagy egy részletes műszaki leírás (CSS Electronics, Vector). A cél: a 500 kbit/s és az 50 ms alátámasztása.</t>
  </si>
  <si>
    <t xml:space="preserve">F-04</t>
  </si>
  <si>
    <t xml:space="preserve">Bluetooth LE és klasszikus Bluetooth: csatlakozási időköz, adatméret; ELM327 BT adapterek SPP-t használnak</t>
  </si>
  <si>
    <t xml:space="preserve">Specifikáció és termékleírás</t>
  </si>
  <si>
    <t xml:space="preserve">1.4</t>
  </si>
  <si>
    <t xml:space="preserve">Keress rá: „Bluetooth Core Specification connection interval 7.5 ms”, „ELM327 Bluetooth adapter SPP”. A cél: a 2. táblázat számainak és a „klasszikus Bluetooth” állításnak az ellenőrzése.</t>
  </si>
  <si>
    <t xml:space="preserve">F-05</t>
  </si>
  <si>
    <t xml:space="preserve">Piaci megoldások (ELM327-adapterek, HUD-kijelzők)</t>
  </si>
  <si>
    <t xml:space="preserve">Termékoldalak, cikk</t>
  </si>
  <si>
    <t xml:space="preserve">1.5</t>
  </si>
  <si>
    <t xml:space="preserve">2–3 konkrét termék oldala vagy egy összehasonlító cikk. A cél: a 3. táblázat állításainak alátámasztása; legalább egy tudományos cikk a vezeték nélküli OBD-II adatgyűjtésről (Google Scholar: „wireless OBD-II ESP32 real-time”).</t>
  </si>
  <si>
    <t xml:space="preserve">F-06</t>
  </si>
  <si>
    <t xml:space="preserve">Kijelző- és akkumulátoradatok (LP803040 cella, védelem)</t>
  </si>
  <si>
    <t xml:space="preserve">Gyártói adatlap</t>
  </si>
  <si>
    <t xml:space="preserve">2.4.2, 2.6</t>
  </si>
  <si>
    <t xml:space="preserve">A kiválasztott cella adatlapja: névleges kapacitás, védelem, megengedett töltőáram. A cél: a 3.4. pont és az 5.1–5.2. pont állításainak alátámasztása.</t>
  </si>
  <si>
    <t xml:space="preserve">Javasolt magyar kifejezés</t>
  </si>
  <si>
    <t xml:space="preserve">Mellőzendő / angol</t>
  </si>
  <si>
    <t xml:space="preserve">OBD-adapter</t>
  </si>
  <si>
    <t xml:space="preserve">dongle</t>
  </si>
  <si>
    <t xml:space="preserve">OBD-II csatlakozóba dugható adatgyűjtő egység; a dolgozatban végig 'OBD-csomópont' vagy 'OBD-adapter'.</t>
  </si>
  <si>
    <t xml:space="preserve">csomópont</t>
  </si>
  <si>
    <t xml:space="preserve">node</t>
  </si>
  <si>
    <t xml:space="preserve">A két egység neve: OBD-csomópont, kijelző-csomópont.</t>
  </si>
  <si>
    <t xml:space="preserve">nyomtatott áramköri lap (NYÁK)</t>
  </si>
  <si>
    <t xml:space="preserve">PCB, panel, lap</t>
  </si>
  <si>
    <t xml:space="preserve">Első említéskor kiírva, utána NYÁK.</t>
  </si>
  <si>
    <t xml:space="preserve">kapcsolási rajz</t>
  </si>
  <si>
    <t xml:space="preserve">schematic</t>
  </si>
  <si>
    <t xml:space="preserve">alkatrészjegyzék</t>
  </si>
  <si>
    <t xml:space="preserve">BOM</t>
  </si>
  <si>
    <t xml:space="preserve">Első említéskor zárójelben: (BOM).</t>
  </si>
  <si>
    <t xml:space="preserve">mikrovezérlő</t>
  </si>
  <si>
    <t xml:space="preserve">mikrokontroller</t>
  </si>
  <si>
    <t xml:space="preserve">Egy, a dolgozat egészében következetes alak.</t>
  </si>
  <si>
    <t xml:space="preserve">adó-vevő</t>
  </si>
  <si>
    <t xml:space="preserve">transceiver</t>
  </si>
  <si>
    <t xml:space="preserve">CAN adó-vevő (SN65HVD231).</t>
  </si>
  <si>
    <t xml:space="preserve">keret</t>
  </si>
  <si>
    <t xml:space="preserve">CAN-csomag, frame</t>
  </si>
  <si>
    <t xml:space="preserve">CAN-hálózaton 'keret'; az ESP-NOW-n 'csomag'.</t>
  </si>
  <si>
    <t xml:space="preserve">csomag</t>
  </si>
  <si>
    <t xml:space="preserve">packet</t>
  </si>
  <si>
    <t xml:space="preserve">Az ESP-NOW és BLE adatáramlására.</t>
  </si>
  <si>
    <t xml:space="preserve">alvó mód</t>
  </si>
  <si>
    <t xml:space="preserve">sleep</t>
  </si>
  <si>
    <t xml:space="preserve">Light sleep és deep sleep: 'könnyű alvás', 'mély alvás', az angol név zárójelben.</t>
  </si>
  <si>
    <t xml:space="preserve">ébresztés</t>
  </si>
  <si>
    <t xml:space="preserve">wake-up</t>
  </si>
  <si>
    <t xml:space="preserve">kitöltési tényező</t>
  </si>
  <si>
    <t xml:space="preserve">duty cycle</t>
  </si>
  <si>
    <t xml:space="preserve">BLE-ablak: pl. 15 ms / 1,5 s.</t>
  </si>
  <si>
    <t xml:space="preserve">tápfeszültség</t>
  </si>
  <si>
    <t xml:space="preserve">VCC, supply</t>
  </si>
  <si>
    <t xml:space="preserve">Jelölés: V_SYS, +3,3 V, a kapcsolási rajz szerint.</t>
  </si>
  <si>
    <t xml:space="preserve">védődióda / TVS-dióda</t>
  </si>
  <si>
    <t xml:space="preserve">TVS</t>
  </si>
  <si>
    <t xml:space="preserve">Tranziensvédő dióda; első említéskor 'tranziensfeszültség-védő (TVS) dióda'.</t>
  </si>
  <si>
    <t xml:space="preserve">biztosíték (PPTC)</t>
  </si>
  <si>
    <t xml:space="preserve">fuse, polifuse</t>
  </si>
  <si>
    <t xml:space="preserve">Visszaálló biztosíték (PPTC).</t>
  </si>
  <si>
    <t xml:space="preserve">forrasztóhíd</t>
  </si>
  <si>
    <t xml:space="preserve">jumper</t>
  </si>
  <si>
    <t xml:space="preserve">JP1, JP2.</t>
  </si>
  <si>
    <t xml:space="preserve">beágyazott szoftver</t>
  </si>
  <si>
    <t xml:space="preserve">firmware</t>
  </si>
  <si>
    <t xml:space="preserve">Első említéskor zárójelben: (firmware).</t>
  </si>
  <si>
    <t xml:space="preserve">kijelzővezérlő</t>
  </si>
  <si>
    <t xml:space="preserve">display driver</t>
  </si>
  <si>
    <t xml:space="preserve">Az ST77916 vezérlő IC.</t>
  </si>
  <si>
    <t xml:space="preserve">érintővezérlő</t>
  </si>
  <si>
    <t xml:space="preserve">touch controller</t>
  </si>
  <si>
    <t xml:space="preserve">CST816S.</t>
  </si>
  <si>
    <t xml:space="preserve">hálózati réteg / protokoll</t>
  </si>
  <si>
    <t xml:space="preserve">stack</t>
  </si>
  <si>
    <t xml:space="preserve">vezeték nélküli kapcsolat</t>
  </si>
  <si>
    <t xml:space="preserve">wireless link</t>
  </si>
  <si>
    <t xml:space="preserve">hibakód</t>
  </si>
  <si>
    <t xml:space="preserve">DTC</t>
  </si>
  <si>
    <t xml:space="preserve">Első említéskor: (DTC, Diagnostic Trouble Code).</t>
  </si>
  <si>
    <t xml:space="preserve">gyártóazonosító (WMI)</t>
  </si>
  <si>
    <t xml:space="preserve">WMI</t>
  </si>
  <si>
    <t xml:space="preserve">A VIN első három karaktere.</t>
  </si>
  <si>
    <t xml:space="preserve">Javaslat: a konzulenssel egyeztetendő, mert az elvárás szóhasználati következetesség.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</si>
</sst>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 t="s">
        <v>6</v>
      </c>
    </row>
    <row r="9" customFormat="false" ht="1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 t="s">
        <v>12</v>
      </c>
    </row>
    <row r="16" customFormat="false" ht="15" hidden="false" customHeight="true" outlineLevel="0" collapsed="false">
      <c r="A16" s="3"/>
    </row>
    <row r="17" customFormat="false" ht="23.25" hidden="false" customHeight="tru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5"/>
    <col collapsed="false" customWidth="true" hidden="false" outlineLevel="0" max="2" min="2" style="1" width="12"/>
  </cols>
  <sheetData>
    <row r="1" customFormat="false" ht="15" hidden="false" customHeight="true" outlineLevel="0" collapsed="false">
      <c r="A1" s="5" t="s">
        <v>14</v>
      </c>
    </row>
    <row r="3" customFormat="false" ht="15" hidden="false" customHeight="true" outlineLevel="0" collapsed="false">
      <c r="A3" s="6" t="s">
        <v>15</v>
      </c>
      <c r="B3" s="6" t="n">
        <f aca="false">COUNTA(Hibák!A2:A500)</f>
        <v>18</v>
      </c>
    </row>
    <row r="4" customFormat="false" ht="15" hidden="false" customHeight="true" outlineLevel="0" collapsed="false">
      <c r="A4" s="6" t="s">
        <v>16</v>
      </c>
      <c r="B4" s="6" t="n">
        <f aca="false">COUNTIF(Hibák!F2:F500,"Kritikus")</f>
        <v>0</v>
      </c>
    </row>
    <row r="5" customFormat="false" ht="15" hidden="false" customHeight="true" outlineLevel="0" collapsed="false">
      <c r="A5" s="6" t="s">
        <v>17</v>
      </c>
      <c r="B5" s="6" t="n">
        <f aca="false">COUNTIF(Hibák!F2:F500,"Magas")</f>
        <v>6</v>
      </c>
    </row>
    <row r="6" customFormat="false" ht="15" hidden="false" customHeight="true" outlineLevel="0" collapsed="false">
      <c r="A6" s="6" t="s">
        <v>18</v>
      </c>
      <c r="B6" s="6" t="n">
        <f aca="false">COUNTIF(Hibák!F2:F500,"Közepes")</f>
        <v>6</v>
      </c>
    </row>
    <row r="7" customFormat="false" ht="15" hidden="false" customHeight="true" outlineLevel="0" collapsed="false">
      <c r="A7" s="6" t="s">
        <v>19</v>
      </c>
      <c r="B7" s="6" t="n">
        <f aca="false">COUNTIF(Hibák!F2:F500,"Alacsony")</f>
        <v>6</v>
      </c>
    </row>
    <row r="8" customFormat="false" ht="15" hidden="false" customHeight="true" outlineLevel="0" collapsed="false">
      <c r="A8" s="6" t="s">
        <v>20</v>
      </c>
      <c r="B8" s="6" t="n">
        <f aca="false">COUNTIF(Hibák!J2:J500,"Nyitott")+COUNTIF(Hibák!J2:J500,"Tervezett*")+COUNTIF(Hibák!J2:J500,"Ellenőrizendő")+COUNTIF(Hibák!J2:J500,"Szoftveres megoldás tervezve")</f>
        <v>10</v>
      </c>
    </row>
    <row r="9" customFormat="false" ht="15" hidden="false" customHeight="true" outlineLevel="0" collapsed="false">
      <c r="A9" s="6" t="s">
        <v>21</v>
      </c>
      <c r="B9" s="6" t="n">
        <f aca="false">COUNTA(Változtatások!A2:A500)</f>
        <v>23</v>
      </c>
    </row>
    <row r="10" customFormat="false" ht="15" hidden="false" customHeight="true" outlineLevel="0" collapsed="false">
      <c r="A10" s="6" t="s">
        <v>22</v>
      </c>
      <c r="B10" s="6" t="n">
        <f aca="false">COUNTIF(Változtatások!H2:H500,"Tervezett")</f>
        <v>1</v>
      </c>
    </row>
    <row r="11" customFormat="false" ht="15" hidden="false" customHeight="true" outlineLevel="0" collapsed="false">
      <c r="A11" s="6" t="s">
        <v>23</v>
      </c>
      <c r="B11" s="6" t="n">
        <f aca="false">COUNTA(Tervezés!A2:A500)</f>
        <v>21</v>
      </c>
    </row>
    <row r="12" customFormat="false" ht="15" hidden="false" customHeight="true" outlineLevel="0" collapsed="false">
      <c r="A12" s="6" t="s">
        <v>24</v>
      </c>
      <c r="B12" s="6" t="n">
        <f aca="false">COUNTIF('Nyitott kérdések'!E2:E500,"Nyitott")</f>
        <v>13</v>
      </c>
    </row>
    <row r="13" customFormat="false" ht="15" hidden="false" customHeight="true" outlineLevel="0" collapsed="false">
      <c r="A13" s="6" t="s">
        <v>25</v>
      </c>
      <c r="B13" s="6" t="n">
        <f aca="false">COUNTIF(Szoftver!A2:A40,"S-*")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55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40"/>
    <col collapsed="false" customWidth="true" hidden="false" outlineLevel="0" max="8" min="8" style="1" width="55"/>
    <col collapsed="false" customWidth="true" hidden="false" outlineLevel="0" max="9" min="9" style="1" width="14"/>
    <col collapsed="false" customWidth="true" hidden="false" outlineLevel="0" max="10" min="10" style="1" width="18"/>
    <col collapsed="false" customWidth="true" hidden="false" outlineLevel="0" max="11" min="11" style="1" width="22"/>
  </cols>
  <sheetData>
    <row r="1" customFormat="false" ht="30" hidden="false" customHeight="true" outlineLevel="0" collapsed="false">
      <c r="A1" s="7" t="s">
        <v>26</v>
      </c>
      <c r="B1" s="7" t="s">
        <v>27</v>
      </c>
      <c r="C1" s="7" t="s">
        <v>28</v>
      </c>
      <c r="D1" s="7" t="s">
        <v>29</v>
      </c>
      <c r="E1" s="7" t="s">
        <v>30</v>
      </c>
      <c r="F1" s="7" t="s">
        <v>31</v>
      </c>
      <c r="G1" s="7" t="s">
        <v>32</v>
      </c>
      <c r="H1" s="7" t="s">
        <v>33</v>
      </c>
      <c r="I1" s="7" t="s">
        <v>34</v>
      </c>
      <c r="J1" s="7" t="s">
        <v>35</v>
      </c>
      <c r="K1" s="7" t="s">
        <v>36</v>
      </c>
    </row>
    <row r="2" customFormat="false" ht="34.5" hidden="false" customHeight="true" outlineLevel="0" collapsed="false">
      <c r="A2" s="8" t="s">
        <v>37</v>
      </c>
      <c r="B2" s="8" t="s">
        <v>38</v>
      </c>
      <c r="C2" s="8" t="s">
        <v>39</v>
      </c>
      <c r="D2" s="8" t="s">
        <v>40</v>
      </c>
      <c r="E2" s="8" t="s">
        <v>41</v>
      </c>
      <c r="F2" s="8" t="s">
        <v>42</v>
      </c>
      <c r="G2" s="8" t="s">
        <v>43</v>
      </c>
      <c r="H2" s="8" t="s">
        <v>44</v>
      </c>
      <c r="I2" s="8" t="s">
        <v>45</v>
      </c>
      <c r="J2" s="8" t="s">
        <v>46</v>
      </c>
      <c r="K2" s="8" t="s">
        <v>47</v>
      </c>
    </row>
    <row r="3" customFormat="false" ht="34.5" hidden="false" customHeight="true" outlineLevel="0" collapsed="false">
      <c r="A3" s="8" t="s">
        <v>48</v>
      </c>
      <c r="B3" s="8" t="s">
        <v>38</v>
      </c>
      <c r="C3" s="8" t="s">
        <v>39</v>
      </c>
      <c r="D3" s="8" t="s">
        <v>49</v>
      </c>
      <c r="E3" s="8" t="s">
        <v>50</v>
      </c>
      <c r="F3" s="8" t="s">
        <v>51</v>
      </c>
      <c r="G3" s="8" t="s">
        <v>52</v>
      </c>
      <c r="H3" s="8" t="s">
        <v>53</v>
      </c>
      <c r="I3" s="8" t="s">
        <v>54</v>
      </c>
      <c r="J3" s="8" t="s">
        <v>55</v>
      </c>
      <c r="K3" s="8" t="s">
        <v>56</v>
      </c>
    </row>
    <row r="4" customFormat="false" ht="23.25" hidden="false" customHeight="true" outlineLevel="0" collapsed="false">
      <c r="A4" s="8" t="s">
        <v>57</v>
      </c>
      <c r="B4" s="8" t="s">
        <v>38</v>
      </c>
      <c r="C4" s="8" t="s">
        <v>39</v>
      </c>
      <c r="D4" s="8" t="s">
        <v>58</v>
      </c>
      <c r="E4" s="8" t="s">
        <v>59</v>
      </c>
      <c r="F4" s="8" t="s">
        <v>42</v>
      </c>
      <c r="G4" s="8" t="s">
        <v>60</v>
      </c>
      <c r="H4" s="8" t="s">
        <v>61</v>
      </c>
      <c r="I4" s="8" t="s">
        <v>54</v>
      </c>
      <c r="J4" s="8" t="s">
        <v>55</v>
      </c>
      <c r="K4" s="8" t="s">
        <v>62</v>
      </c>
    </row>
    <row r="5" customFormat="false" ht="23.25" hidden="false" customHeight="true" outlineLevel="0" collapsed="false">
      <c r="A5" s="8" t="s">
        <v>63</v>
      </c>
      <c r="B5" s="8" t="s">
        <v>38</v>
      </c>
      <c r="C5" s="8" t="s">
        <v>39</v>
      </c>
      <c r="D5" s="9" t="s">
        <v>64</v>
      </c>
      <c r="E5" s="8" t="s">
        <v>65</v>
      </c>
      <c r="F5" s="8" t="s">
        <v>51</v>
      </c>
      <c r="G5" s="9" t="s">
        <v>66</v>
      </c>
      <c r="H5" s="8" t="s">
        <v>67</v>
      </c>
      <c r="I5" s="8" t="s">
        <v>54</v>
      </c>
      <c r="J5" s="8" t="s">
        <v>55</v>
      </c>
      <c r="K5" s="8" t="s">
        <v>62</v>
      </c>
    </row>
    <row r="6" customFormat="false" ht="23.25" hidden="false" customHeight="true" outlineLevel="0" collapsed="false">
      <c r="A6" s="8" t="s">
        <v>68</v>
      </c>
      <c r="B6" s="8" t="s">
        <v>38</v>
      </c>
      <c r="C6" s="8" t="s">
        <v>39</v>
      </c>
      <c r="D6" s="8" t="s">
        <v>69</v>
      </c>
      <c r="E6" s="8" t="s">
        <v>70</v>
      </c>
      <c r="F6" s="8" t="s">
        <v>71</v>
      </c>
      <c r="G6" s="8" t="s">
        <v>72</v>
      </c>
      <c r="H6" s="8" t="s">
        <v>73</v>
      </c>
      <c r="I6" s="8" t="s">
        <v>54</v>
      </c>
      <c r="J6" s="8" t="s">
        <v>74</v>
      </c>
      <c r="K6" s="8" t="s">
        <v>62</v>
      </c>
    </row>
    <row r="7" customFormat="false" ht="34.5" hidden="false" customHeight="true" outlineLevel="0" collapsed="false">
      <c r="A7" s="8" t="s">
        <v>75</v>
      </c>
      <c r="B7" s="8" t="s">
        <v>38</v>
      </c>
      <c r="C7" s="8" t="s">
        <v>39</v>
      </c>
      <c r="D7" s="8" t="s">
        <v>76</v>
      </c>
      <c r="E7" s="8" t="s">
        <v>77</v>
      </c>
      <c r="F7" s="8" t="s">
        <v>51</v>
      </c>
      <c r="G7" s="8" t="s">
        <v>78</v>
      </c>
      <c r="H7" s="8" t="s">
        <v>79</v>
      </c>
      <c r="I7" s="8"/>
      <c r="J7" s="8" t="s">
        <v>80</v>
      </c>
      <c r="K7" s="8" t="s">
        <v>81</v>
      </c>
    </row>
    <row r="8" customFormat="false" ht="23.25" hidden="false" customHeight="true" outlineLevel="0" collapsed="false">
      <c r="A8" s="8" t="s">
        <v>82</v>
      </c>
      <c r="B8" s="8" t="s">
        <v>38</v>
      </c>
      <c r="C8" s="8" t="s">
        <v>83</v>
      </c>
      <c r="D8" s="8" t="s">
        <v>84</v>
      </c>
      <c r="E8" s="8" t="s">
        <v>85</v>
      </c>
      <c r="F8" s="8" t="s">
        <v>71</v>
      </c>
      <c r="G8" s="8" t="s">
        <v>86</v>
      </c>
      <c r="H8" s="8" t="s">
        <v>87</v>
      </c>
      <c r="I8" s="8" t="s">
        <v>88</v>
      </c>
      <c r="J8" s="8" t="s">
        <v>89</v>
      </c>
      <c r="K8" s="8" t="s">
        <v>90</v>
      </c>
    </row>
    <row r="9" customFormat="false" ht="23.25" hidden="false" customHeight="true" outlineLevel="0" collapsed="false">
      <c r="A9" s="8" t="s">
        <v>91</v>
      </c>
      <c r="B9" s="8" t="s">
        <v>38</v>
      </c>
      <c r="C9" s="8" t="s">
        <v>83</v>
      </c>
      <c r="D9" s="8" t="s">
        <v>92</v>
      </c>
      <c r="E9" s="8" t="s">
        <v>93</v>
      </c>
      <c r="F9" s="8" t="s">
        <v>71</v>
      </c>
      <c r="G9" s="8" t="s">
        <v>94</v>
      </c>
      <c r="H9" s="8" t="s">
        <v>95</v>
      </c>
      <c r="I9" s="8" t="s">
        <v>88</v>
      </c>
      <c r="J9" s="8" t="s">
        <v>89</v>
      </c>
      <c r="K9" s="8" t="s">
        <v>96</v>
      </c>
    </row>
    <row r="10" customFormat="false" ht="34.5" hidden="false" customHeight="true" outlineLevel="0" collapsed="false">
      <c r="A10" s="8" t="s">
        <v>97</v>
      </c>
      <c r="B10" s="8" t="s">
        <v>98</v>
      </c>
      <c r="C10" s="8" t="s">
        <v>99</v>
      </c>
      <c r="D10" s="8" t="s">
        <v>100</v>
      </c>
      <c r="E10" s="8" t="s">
        <v>101</v>
      </c>
      <c r="F10" s="8" t="s">
        <v>51</v>
      </c>
      <c r="G10" s="8" t="s">
        <v>102</v>
      </c>
      <c r="H10" s="8" t="s">
        <v>103</v>
      </c>
      <c r="I10" s="8"/>
      <c r="J10" s="8" t="s">
        <v>104</v>
      </c>
      <c r="K10" s="8" t="s">
        <v>105</v>
      </c>
    </row>
    <row r="11" customFormat="false" ht="23.25" hidden="false" customHeight="true" outlineLevel="0" collapsed="false">
      <c r="A11" s="8" t="s">
        <v>106</v>
      </c>
      <c r="B11" s="8" t="s">
        <v>38</v>
      </c>
      <c r="C11" s="8" t="s">
        <v>99</v>
      </c>
      <c r="D11" s="8" t="s">
        <v>107</v>
      </c>
      <c r="E11" s="8" t="s">
        <v>108</v>
      </c>
      <c r="F11" s="8" t="s">
        <v>71</v>
      </c>
      <c r="G11" s="8" t="s">
        <v>109</v>
      </c>
      <c r="H11" s="8" t="s">
        <v>110</v>
      </c>
      <c r="I11" s="8" t="s">
        <v>88</v>
      </c>
      <c r="J11" s="8" t="s">
        <v>104</v>
      </c>
      <c r="K11" s="8" t="s">
        <v>111</v>
      </c>
    </row>
    <row r="12" customFormat="false" ht="57" hidden="false" customHeight="true" outlineLevel="0" collapsed="false">
      <c r="A12" s="8" t="s">
        <v>112</v>
      </c>
      <c r="B12" s="8" t="s">
        <v>98</v>
      </c>
      <c r="C12" s="8" t="s">
        <v>113</v>
      </c>
      <c r="D12" s="8" t="s">
        <v>114</v>
      </c>
      <c r="E12" s="8" t="s">
        <v>115</v>
      </c>
      <c r="F12" s="8" t="s">
        <v>42</v>
      </c>
      <c r="G12" s="8" t="s">
        <v>116</v>
      </c>
      <c r="H12" s="8" t="s">
        <v>117</v>
      </c>
      <c r="I12" s="8" t="s">
        <v>118</v>
      </c>
      <c r="J12" s="8" t="s">
        <v>119</v>
      </c>
      <c r="K12" s="8" t="s">
        <v>120</v>
      </c>
    </row>
    <row r="13" customFormat="false" ht="45.75" hidden="false" customHeight="true" outlineLevel="0" collapsed="false">
      <c r="A13" s="8" t="s">
        <v>121</v>
      </c>
      <c r="B13" s="8" t="s">
        <v>122</v>
      </c>
      <c r="C13" s="8" t="s">
        <v>123</v>
      </c>
      <c r="D13" s="8" t="s">
        <v>124</v>
      </c>
      <c r="E13" s="8" t="s">
        <v>125</v>
      </c>
      <c r="F13" s="8" t="s">
        <v>51</v>
      </c>
      <c r="G13" s="8" t="s">
        <v>126</v>
      </c>
      <c r="H13" s="9" t="s">
        <v>127</v>
      </c>
      <c r="I13" s="8"/>
      <c r="J13" s="8" t="s">
        <v>80</v>
      </c>
      <c r="K13" s="8" t="s">
        <v>128</v>
      </c>
    </row>
    <row r="14" customFormat="false" ht="34.5" hidden="false" customHeight="true" outlineLevel="0" collapsed="false">
      <c r="A14" s="8" t="s">
        <v>129</v>
      </c>
      <c r="B14" s="8" t="s">
        <v>122</v>
      </c>
      <c r="C14" s="8" t="s">
        <v>130</v>
      </c>
      <c r="D14" s="8" t="s">
        <v>131</v>
      </c>
      <c r="E14" s="8" t="s">
        <v>132</v>
      </c>
      <c r="F14" s="8" t="s">
        <v>42</v>
      </c>
      <c r="G14" s="8" t="s">
        <v>133</v>
      </c>
      <c r="H14" s="8" t="s">
        <v>134</v>
      </c>
      <c r="I14" s="8"/>
      <c r="J14" s="8" t="s">
        <v>80</v>
      </c>
      <c r="K14" s="8" t="s">
        <v>135</v>
      </c>
    </row>
    <row r="15" customFormat="false" ht="45.75" hidden="false" customHeight="true" outlineLevel="0" collapsed="false">
      <c r="A15" s="8" t="s">
        <v>136</v>
      </c>
      <c r="B15" s="8" t="s">
        <v>122</v>
      </c>
      <c r="C15" s="8" t="s">
        <v>137</v>
      </c>
      <c r="D15" s="8" t="s">
        <v>138</v>
      </c>
      <c r="E15" s="8" t="s">
        <v>139</v>
      </c>
      <c r="F15" s="8" t="s">
        <v>42</v>
      </c>
      <c r="G15" s="8" t="s">
        <v>140</v>
      </c>
      <c r="H15" s="8" t="s">
        <v>141</v>
      </c>
      <c r="I15" s="8" t="s">
        <v>142</v>
      </c>
      <c r="J15" s="8" t="s">
        <v>80</v>
      </c>
      <c r="K15" s="8" t="s">
        <v>128</v>
      </c>
    </row>
    <row r="16" customFormat="false" ht="34.5" hidden="false" customHeight="true" outlineLevel="0" collapsed="false">
      <c r="A16" s="8" t="s">
        <v>143</v>
      </c>
      <c r="B16" s="8" t="s">
        <v>122</v>
      </c>
      <c r="C16" s="8" t="s">
        <v>144</v>
      </c>
      <c r="D16" s="8" t="s">
        <v>145</v>
      </c>
      <c r="E16" s="8" t="s">
        <v>146</v>
      </c>
      <c r="F16" s="8" t="s">
        <v>71</v>
      </c>
      <c r="G16" s="8" t="s">
        <v>147</v>
      </c>
      <c r="H16" s="8" t="s">
        <v>148</v>
      </c>
      <c r="I16" s="8" t="s">
        <v>149</v>
      </c>
      <c r="J16" s="8" t="s">
        <v>104</v>
      </c>
      <c r="K16" s="8" t="s">
        <v>150</v>
      </c>
    </row>
    <row r="17" customFormat="false" ht="23.25" hidden="false" customHeight="true" outlineLevel="0" collapsed="false">
      <c r="A17" s="8" t="s">
        <v>151</v>
      </c>
      <c r="B17" s="8" t="s">
        <v>38</v>
      </c>
      <c r="C17" s="8" t="s">
        <v>152</v>
      </c>
      <c r="D17" s="8" t="s">
        <v>153</v>
      </c>
      <c r="E17" s="8" t="s">
        <v>154</v>
      </c>
      <c r="F17" s="8" t="s">
        <v>51</v>
      </c>
      <c r="G17" s="8" t="s">
        <v>155</v>
      </c>
      <c r="H17" s="8" t="s">
        <v>156</v>
      </c>
      <c r="I17" s="8" t="s">
        <v>157</v>
      </c>
      <c r="J17" s="8" t="s">
        <v>158</v>
      </c>
      <c r="K17" s="8" t="s">
        <v>150</v>
      </c>
    </row>
    <row r="18" customFormat="false" ht="23.25" hidden="false" customHeight="true" outlineLevel="0" collapsed="false">
      <c r="A18" s="8" t="s">
        <v>159</v>
      </c>
      <c r="B18" s="8" t="s">
        <v>38</v>
      </c>
      <c r="C18" s="8" t="s">
        <v>160</v>
      </c>
      <c r="D18" s="8" t="s">
        <v>161</v>
      </c>
      <c r="E18" s="8" t="s">
        <v>162</v>
      </c>
      <c r="F18" s="8" t="s">
        <v>42</v>
      </c>
      <c r="G18" s="8" t="s">
        <v>163</v>
      </c>
      <c r="H18" s="8" t="s">
        <v>164</v>
      </c>
      <c r="I18" s="8" t="s">
        <v>45</v>
      </c>
      <c r="J18" s="8" t="s">
        <v>165</v>
      </c>
      <c r="K18" s="8" t="s">
        <v>150</v>
      </c>
    </row>
    <row r="19" customFormat="false" ht="23.25" hidden="false" customHeight="true" outlineLevel="0" collapsed="false">
      <c r="A19" s="8" t="s">
        <v>166</v>
      </c>
      <c r="B19" s="8" t="s">
        <v>38</v>
      </c>
      <c r="C19" s="8" t="s">
        <v>160</v>
      </c>
      <c r="D19" s="8" t="s">
        <v>167</v>
      </c>
      <c r="E19" s="8" t="s">
        <v>168</v>
      </c>
      <c r="F19" s="8" t="s">
        <v>71</v>
      </c>
      <c r="G19" s="8" t="s">
        <v>169</v>
      </c>
      <c r="H19" s="8" t="s">
        <v>170</v>
      </c>
      <c r="I19" s="8" t="s">
        <v>171</v>
      </c>
      <c r="J19" s="8" t="s">
        <v>89</v>
      </c>
      <c r="K19" s="8" t="s">
        <v>150</v>
      </c>
    </row>
  </sheetData>
  <autoFilter ref="A1:K19"/>
  <dataValidations count="2">
    <dataValidation allowBlank="true" errorStyle="stop" operator="between" showDropDown="false" showErrorMessage="false" showInputMessage="false" sqref="F2:F500" type="list">
      <formula1>"Kritikus,Magas,Közepes,Alacsony"</formula1>
      <formula2>0</formula2>
    </dataValidation>
    <dataValidation allowBlank="true" errorStyle="stop" operator="between" showDropDown="false" showErrorMessage="false" showInputMessage="false" sqref="J2:J500" type="list">
      <formula1>"Nyitott,Tervezett (kézi),Tervezett (opcionális),Javítva (új NYÁK),Kezelve,Lezárva,Elfogadott kockázat,Ellenőrizendő,Szoftveres megoldás tervezve"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70"/>
    <col collapsed="false" customWidth="true" hidden="false" outlineLevel="0" max="5" min="5" style="1" width="32"/>
    <col collapsed="false" customWidth="true" hidden="false" outlineLevel="0" max="6" min="6" style="1" width="18"/>
    <col collapsed="false" customWidth="true" hidden="false" outlineLevel="0" max="7" min="7" style="1" width="30"/>
    <col collapsed="false" customWidth="true" hidden="false" outlineLevel="0" max="8" min="8" style="1" width="16"/>
  </cols>
  <sheetData>
    <row r="1" customFormat="false" ht="30" hidden="false" customHeight="true" outlineLevel="0" collapsed="false">
      <c r="A1" s="7" t="s">
        <v>26</v>
      </c>
      <c r="B1" s="7" t="s">
        <v>27</v>
      </c>
      <c r="C1" s="7" t="s">
        <v>172</v>
      </c>
      <c r="D1" s="7" t="s">
        <v>173</v>
      </c>
      <c r="E1" s="7" t="s">
        <v>174</v>
      </c>
      <c r="F1" s="7" t="s">
        <v>175</v>
      </c>
      <c r="G1" s="7" t="s">
        <v>36</v>
      </c>
      <c r="H1" s="7" t="s">
        <v>35</v>
      </c>
    </row>
    <row r="2" customFormat="false" ht="23.25" hidden="false" customHeight="true" outlineLevel="0" collapsed="false">
      <c r="A2" s="8" t="s">
        <v>176</v>
      </c>
      <c r="B2" s="8" t="s">
        <v>177</v>
      </c>
      <c r="C2" s="8" t="s">
        <v>178</v>
      </c>
      <c r="D2" s="8" t="s">
        <v>179</v>
      </c>
      <c r="E2" s="8" t="s">
        <v>180</v>
      </c>
      <c r="F2" s="8" t="s">
        <v>150</v>
      </c>
      <c r="G2" s="8" t="s">
        <v>181</v>
      </c>
      <c r="H2" s="8" t="s">
        <v>89</v>
      </c>
    </row>
    <row r="3" customFormat="false" ht="23.25" hidden="false" customHeight="true" outlineLevel="0" collapsed="false">
      <c r="A3" s="8" t="s">
        <v>182</v>
      </c>
      <c r="B3" s="8" t="s">
        <v>183</v>
      </c>
      <c r="C3" s="8" t="s">
        <v>178</v>
      </c>
      <c r="D3" s="8" t="s">
        <v>184</v>
      </c>
      <c r="E3" s="8" t="s">
        <v>185</v>
      </c>
      <c r="F3" s="8" t="s">
        <v>37</v>
      </c>
      <c r="G3" s="8" t="s">
        <v>186</v>
      </c>
      <c r="H3" s="8" t="s">
        <v>89</v>
      </c>
    </row>
    <row r="4" customFormat="false" ht="23.25" hidden="false" customHeight="true" outlineLevel="0" collapsed="false">
      <c r="A4" s="8" t="s">
        <v>45</v>
      </c>
      <c r="B4" s="8" t="s">
        <v>38</v>
      </c>
      <c r="C4" s="8" t="s">
        <v>39</v>
      </c>
      <c r="D4" s="8" t="s">
        <v>187</v>
      </c>
      <c r="E4" s="8" t="s">
        <v>188</v>
      </c>
      <c r="F4" s="8" t="s">
        <v>189</v>
      </c>
      <c r="G4" s="8" t="s">
        <v>190</v>
      </c>
      <c r="H4" s="8" t="s">
        <v>191</v>
      </c>
    </row>
    <row r="5" customFormat="false" ht="34.5" hidden="false" customHeight="true" outlineLevel="0" collapsed="false">
      <c r="A5" s="8" t="s">
        <v>54</v>
      </c>
      <c r="B5" s="8" t="s">
        <v>38</v>
      </c>
      <c r="C5" s="8" t="s">
        <v>192</v>
      </c>
      <c r="D5" s="8" t="s">
        <v>193</v>
      </c>
      <c r="E5" s="8" t="s">
        <v>194</v>
      </c>
      <c r="F5" s="8" t="s">
        <v>195</v>
      </c>
      <c r="G5" s="8" t="s">
        <v>62</v>
      </c>
      <c r="H5" s="8" t="s">
        <v>196</v>
      </c>
    </row>
    <row r="6" customFormat="false" ht="15" hidden="false" customHeight="true" outlineLevel="0" collapsed="false">
      <c r="A6" s="8" t="s">
        <v>171</v>
      </c>
      <c r="B6" s="8" t="s">
        <v>38</v>
      </c>
      <c r="C6" s="8" t="s">
        <v>197</v>
      </c>
      <c r="D6" s="8" t="s">
        <v>198</v>
      </c>
      <c r="E6" s="8" t="s">
        <v>199</v>
      </c>
      <c r="F6" s="8" t="s">
        <v>166</v>
      </c>
      <c r="G6" s="8" t="s">
        <v>150</v>
      </c>
      <c r="H6" s="8" t="s">
        <v>191</v>
      </c>
    </row>
    <row r="7" customFormat="false" ht="34.5" hidden="false" customHeight="true" outlineLevel="0" collapsed="false">
      <c r="A7" s="8" t="s">
        <v>88</v>
      </c>
      <c r="B7" s="8" t="s">
        <v>38</v>
      </c>
      <c r="C7" s="8" t="s">
        <v>178</v>
      </c>
      <c r="D7" s="8" t="s">
        <v>200</v>
      </c>
      <c r="E7" s="8" t="s">
        <v>201</v>
      </c>
      <c r="F7" s="8" t="s">
        <v>202</v>
      </c>
      <c r="G7" s="8" t="s">
        <v>203</v>
      </c>
      <c r="H7" s="8" t="s">
        <v>191</v>
      </c>
    </row>
    <row r="8" customFormat="false" ht="23.25" hidden="false" customHeight="true" outlineLevel="0" collapsed="false">
      <c r="A8" s="8" t="s">
        <v>204</v>
      </c>
      <c r="B8" s="8" t="s">
        <v>38</v>
      </c>
      <c r="C8" s="8" t="s">
        <v>205</v>
      </c>
      <c r="D8" s="8" t="s">
        <v>206</v>
      </c>
      <c r="E8" s="8" t="s">
        <v>207</v>
      </c>
      <c r="F8" s="8" t="s">
        <v>82</v>
      </c>
      <c r="G8" s="8" t="s">
        <v>81</v>
      </c>
      <c r="H8" s="8" t="s">
        <v>191</v>
      </c>
    </row>
    <row r="9" customFormat="false" ht="23.25" hidden="false" customHeight="true" outlineLevel="0" collapsed="false">
      <c r="A9" s="8" t="s">
        <v>208</v>
      </c>
      <c r="B9" s="8" t="s">
        <v>38</v>
      </c>
      <c r="C9" s="8" t="s">
        <v>99</v>
      </c>
      <c r="D9" s="8" t="s">
        <v>209</v>
      </c>
      <c r="E9" s="8" t="s">
        <v>210</v>
      </c>
      <c r="F9" s="8" t="s">
        <v>150</v>
      </c>
      <c r="G9" s="8" t="s">
        <v>211</v>
      </c>
      <c r="H9" s="8" t="s">
        <v>191</v>
      </c>
    </row>
    <row r="10" customFormat="false" ht="23.25" hidden="false" customHeight="true" outlineLevel="0" collapsed="false">
      <c r="A10" s="8" t="s">
        <v>212</v>
      </c>
      <c r="B10" s="8" t="s">
        <v>38</v>
      </c>
      <c r="C10" s="8" t="s">
        <v>213</v>
      </c>
      <c r="D10" s="8" t="s">
        <v>214</v>
      </c>
      <c r="E10" s="8" t="s">
        <v>215</v>
      </c>
      <c r="F10" s="8" t="s">
        <v>150</v>
      </c>
      <c r="G10" s="8" t="s">
        <v>150</v>
      </c>
      <c r="H10" s="8" t="s">
        <v>216</v>
      </c>
    </row>
    <row r="11" customFormat="false" ht="23.25" hidden="false" customHeight="true" outlineLevel="0" collapsed="false">
      <c r="A11" s="8" t="s">
        <v>217</v>
      </c>
      <c r="B11" s="8" t="s">
        <v>98</v>
      </c>
      <c r="C11" s="8" t="s">
        <v>178</v>
      </c>
      <c r="D11" s="8" t="s">
        <v>218</v>
      </c>
      <c r="E11" s="8" t="s">
        <v>219</v>
      </c>
      <c r="F11" s="8" t="s">
        <v>220</v>
      </c>
      <c r="G11" s="8" t="s">
        <v>221</v>
      </c>
      <c r="H11" s="8" t="s">
        <v>191</v>
      </c>
    </row>
    <row r="12" customFormat="false" ht="34.5" hidden="false" customHeight="true" outlineLevel="0" collapsed="false">
      <c r="A12" s="8" t="s">
        <v>118</v>
      </c>
      <c r="B12" s="8" t="s">
        <v>122</v>
      </c>
      <c r="C12" s="8" t="s">
        <v>222</v>
      </c>
      <c r="D12" s="8" t="s">
        <v>223</v>
      </c>
      <c r="E12" s="8" t="s">
        <v>224</v>
      </c>
      <c r="F12" s="8" t="s">
        <v>112</v>
      </c>
      <c r="G12" s="8" t="s">
        <v>120</v>
      </c>
      <c r="H12" s="8" t="s">
        <v>216</v>
      </c>
    </row>
    <row r="13" customFormat="false" ht="34.5" hidden="false" customHeight="true" outlineLevel="0" collapsed="false">
      <c r="A13" s="8" t="s">
        <v>142</v>
      </c>
      <c r="B13" s="8" t="s">
        <v>122</v>
      </c>
      <c r="C13" s="8" t="s">
        <v>222</v>
      </c>
      <c r="D13" s="8" t="s">
        <v>225</v>
      </c>
      <c r="E13" s="8" t="s">
        <v>215</v>
      </c>
      <c r="F13" s="8" t="s">
        <v>226</v>
      </c>
      <c r="G13" s="8" t="s">
        <v>227</v>
      </c>
      <c r="H13" s="8" t="s">
        <v>216</v>
      </c>
    </row>
    <row r="14" customFormat="false" ht="34.5" hidden="false" customHeight="true" outlineLevel="0" collapsed="false">
      <c r="A14" s="8" t="s">
        <v>228</v>
      </c>
      <c r="B14" s="8" t="s">
        <v>122</v>
      </c>
      <c r="C14" s="8" t="s">
        <v>205</v>
      </c>
      <c r="D14" s="8" t="s">
        <v>229</v>
      </c>
      <c r="E14" s="8" t="s">
        <v>230</v>
      </c>
      <c r="F14" s="8" t="s">
        <v>82</v>
      </c>
      <c r="G14" s="8" t="s">
        <v>81</v>
      </c>
      <c r="H14" s="8" t="s">
        <v>89</v>
      </c>
    </row>
    <row r="15" customFormat="false" ht="23.25" hidden="false" customHeight="true" outlineLevel="0" collapsed="false">
      <c r="A15" s="8" t="s">
        <v>149</v>
      </c>
      <c r="B15" s="8" t="s">
        <v>122</v>
      </c>
      <c r="C15" s="8" t="s">
        <v>144</v>
      </c>
      <c r="D15" s="8" t="s">
        <v>231</v>
      </c>
      <c r="E15" s="8" t="s">
        <v>230</v>
      </c>
      <c r="F15" s="8" t="s">
        <v>143</v>
      </c>
      <c r="G15" s="8" t="s">
        <v>150</v>
      </c>
      <c r="H15" s="8" t="s">
        <v>216</v>
      </c>
    </row>
    <row r="16" customFormat="false" ht="34.5" hidden="false" customHeight="true" outlineLevel="0" collapsed="false">
      <c r="A16" s="8" t="s">
        <v>232</v>
      </c>
      <c r="B16" s="8" t="s">
        <v>122</v>
      </c>
      <c r="C16" s="8" t="s">
        <v>222</v>
      </c>
      <c r="D16" s="8" t="s">
        <v>233</v>
      </c>
      <c r="E16" s="8" t="s">
        <v>215</v>
      </c>
      <c r="F16" s="8" t="s">
        <v>150</v>
      </c>
      <c r="G16" s="8" t="s">
        <v>234</v>
      </c>
      <c r="H16" s="8" t="s">
        <v>216</v>
      </c>
    </row>
    <row r="17" customFormat="false" ht="34.5" hidden="false" customHeight="true" outlineLevel="0" collapsed="false">
      <c r="A17" s="8" t="s">
        <v>235</v>
      </c>
      <c r="B17" s="8" t="s">
        <v>236</v>
      </c>
      <c r="C17" s="8" t="s">
        <v>144</v>
      </c>
      <c r="D17" s="8" t="s">
        <v>237</v>
      </c>
      <c r="E17" s="8" t="s">
        <v>230</v>
      </c>
      <c r="F17" s="8" t="s">
        <v>143</v>
      </c>
      <c r="G17" s="8" t="s">
        <v>150</v>
      </c>
      <c r="H17" s="8" t="s">
        <v>216</v>
      </c>
    </row>
    <row r="18" customFormat="false" ht="15" hidden="false" customHeight="true" outlineLevel="0" collapsed="false">
      <c r="A18" s="8" t="s">
        <v>238</v>
      </c>
      <c r="B18" s="8" t="s">
        <v>98</v>
      </c>
      <c r="C18" s="8" t="s">
        <v>239</v>
      </c>
      <c r="D18" s="8" t="s">
        <v>240</v>
      </c>
      <c r="E18" s="8" t="s">
        <v>241</v>
      </c>
      <c r="F18" s="8" t="s">
        <v>150</v>
      </c>
      <c r="G18" s="8" t="s">
        <v>242</v>
      </c>
      <c r="H18" s="8" t="s">
        <v>191</v>
      </c>
    </row>
    <row r="19" customFormat="false" ht="15" hidden="false" customHeight="true" outlineLevel="0" collapsed="false">
      <c r="A19" s="8" t="s">
        <v>243</v>
      </c>
      <c r="B19" s="8" t="s">
        <v>236</v>
      </c>
      <c r="C19" s="8" t="s">
        <v>178</v>
      </c>
      <c r="D19" s="8" t="s">
        <v>244</v>
      </c>
      <c r="E19" s="8" t="s">
        <v>245</v>
      </c>
      <c r="F19" s="8" t="s">
        <v>150</v>
      </c>
      <c r="G19" s="8" t="s">
        <v>246</v>
      </c>
      <c r="H19" s="8" t="s">
        <v>191</v>
      </c>
    </row>
    <row r="20" customFormat="false" ht="15" hidden="false" customHeight="true" outlineLevel="0" collapsed="false">
      <c r="A20" s="8" t="s">
        <v>247</v>
      </c>
      <c r="B20" s="8" t="s">
        <v>236</v>
      </c>
      <c r="C20" s="8" t="s">
        <v>178</v>
      </c>
      <c r="D20" s="8" t="s">
        <v>248</v>
      </c>
      <c r="E20" s="8" t="s">
        <v>249</v>
      </c>
      <c r="F20" s="8" t="s">
        <v>150</v>
      </c>
      <c r="G20" s="8" t="s">
        <v>250</v>
      </c>
      <c r="H20" s="8" t="s">
        <v>191</v>
      </c>
    </row>
    <row r="21" customFormat="false" ht="15" hidden="false" customHeight="true" outlineLevel="0" collapsed="false">
      <c r="A21" s="8" t="s">
        <v>251</v>
      </c>
      <c r="B21" s="8" t="s">
        <v>236</v>
      </c>
      <c r="C21" s="8" t="s">
        <v>178</v>
      </c>
      <c r="D21" s="8" t="s">
        <v>252</v>
      </c>
      <c r="E21" s="8" t="s">
        <v>253</v>
      </c>
      <c r="F21" s="8" t="s">
        <v>150</v>
      </c>
      <c r="G21" s="8" t="s">
        <v>254</v>
      </c>
      <c r="H21" s="8" t="s">
        <v>191</v>
      </c>
    </row>
    <row r="22" customFormat="false" ht="34.5" hidden="false" customHeight="true" outlineLevel="0" collapsed="false">
      <c r="A22" s="8" t="s">
        <v>255</v>
      </c>
      <c r="B22" s="8" t="s">
        <v>236</v>
      </c>
      <c r="C22" s="8" t="s">
        <v>178</v>
      </c>
      <c r="D22" s="8" t="s">
        <v>256</v>
      </c>
      <c r="E22" s="8" t="s">
        <v>257</v>
      </c>
      <c r="F22" s="8" t="s">
        <v>258</v>
      </c>
      <c r="G22" s="8" t="s">
        <v>259</v>
      </c>
      <c r="H22" s="8" t="s">
        <v>191</v>
      </c>
    </row>
    <row r="23" customFormat="false" ht="23.25" hidden="false" customHeight="true" outlineLevel="0" collapsed="false">
      <c r="A23" s="8" t="s">
        <v>260</v>
      </c>
      <c r="B23" s="8" t="s">
        <v>236</v>
      </c>
      <c r="C23" s="8" t="s">
        <v>178</v>
      </c>
      <c r="D23" s="8" t="s">
        <v>261</v>
      </c>
      <c r="E23" s="8" t="s">
        <v>253</v>
      </c>
      <c r="F23" s="8" t="s">
        <v>150</v>
      </c>
      <c r="G23" s="8" t="s">
        <v>262</v>
      </c>
      <c r="H23" s="8" t="s">
        <v>191</v>
      </c>
    </row>
    <row r="24" customFormat="false" ht="34.5" hidden="false" customHeight="true" outlineLevel="0" collapsed="false">
      <c r="A24" s="8" t="s">
        <v>263</v>
      </c>
      <c r="B24" s="8" t="s">
        <v>236</v>
      </c>
      <c r="C24" s="8" t="s">
        <v>178</v>
      </c>
      <c r="D24" s="8" t="s">
        <v>264</v>
      </c>
      <c r="E24" s="8" t="s">
        <v>253</v>
      </c>
      <c r="F24" s="8" t="s">
        <v>150</v>
      </c>
      <c r="G24" s="8" t="s">
        <v>265</v>
      </c>
      <c r="H24" s="8" t="s">
        <v>191</v>
      </c>
    </row>
  </sheetData>
  <autoFilter ref="A1:H18"/>
  <dataValidations count="1">
    <dataValidation allowBlank="true" errorStyle="stop" operator="between" showDropDown="false" showErrorMessage="false" showInputMessage="false" sqref="H2:H500" type="list">
      <formula1>"Eldöntve,Tervezett,Végrehajtva,Lezárva"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5"/>
    <col collapsed="false" customWidth="true" hidden="false" outlineLevel="0" max="4" min="4" style="1" width="60"/>
    <col collapsed="false" customWidth="true" hidden="false" outlineLevel="0" max="5" min="5" style="1" width="45"/>
    <col collapsed="false" customWidth="true" hidden="false" outlineLevel="0" max="6" min="6" style="1" width="24"/>
  </cols>
  <sheetData>
    <row r="1" customFormat="false" ht="30" hidden="false" customHeight="true" outlineLevel="0" collapsed="false">
      <c r="A1" s="7" t="s">
        <v>26</v>
      </c>
      <c r="B1" s="7" t="s">
        <v>266</v>
      </c>
      <c r="C1" s="7" t="s">
        <v>267</v>
      </c>
      <c r="D1" s="7" t="s">
        <v>268</v>
      </c>
      <c r="E1" s="7" t="s">
        <v>269</v>
      </c>
      <c r="F1" s="7" t="s">
        <v>36</v>
      </c>
    </row>
    <row r="2" customFormat="false" ht="23.25" hidden="false" customHeight="true" outlineLevel="0" collapsed="false">
      <c r="A2" s="8" t="s">
        <v>270</v>
      </c>
      <c r="B2" s="8" t="s">
        <v>271</v>
      </c>
      <c r="C2" s="8" t="s">
        <v>272</v>
      </c>
      <c r="D2" s="8" t="s">
        <v>273</v>
      </c>
      <c r="E2" s="8" t="s">
        <v>274</v>
      </c>
      <c r="F2" s="8" t="s">
        <v>275</v>
      </c>
    </row>
    <row r="3" customFormat="false" ht="23.25" hidden="false" customHeight="true" outlineLevel="0" collapsed="false">
      <c r="A3" s="8" t="s">
        <v>276</v>
      </c>
      <c r="B3" s="8" t="s">
        <v>277</v>
      </c>
      <c r="C3" s="8" t="s">
        <v>278</v>
      </c>
      <c r="D3" s="8" t="s">
        <v>279</v>
      </c>
      <c r="E3" s="8" t="s">
        <v>280</v>
      </c>
      <c r="F3" s="8" t="s">
        <v>120</v>
      </c>
    </row>
    <row r="4" customFormat="false" ht="23.25" hidden="false" customHeight="true" outlineLevel="0" collapsed="false">
      <c r="A4" s="8" t="s">
        <v>281</v>
      </c>
      <c r="B4" s="8" t="s">
        <v>282</v>
      </c>
      <c r="C4" s="8" t="s">
        <v>283</v>
      </c>
      <c r="D4" s="8" t="s">
        <v>284</v>
      </c>
      <c r="E4" s="8" t="s">
        <v>285</v>
      </c>
      <c r="F4" s="8" t="s">
        <v>286</v>
      </c>
    </row>
    <row r="5" customFormat="false" ht="15" hidden="false" customHeight="true" outlineLevel="0" collapsed="false">
      <c r="A5" s="8" t="s">
        <v>287</v>
      </c>
      <c r="B5" s="8" t="s">
        <v>288</v>
      </c>
      <c r="C5" s="8" t="s">
        <v>289</v>
      </c>
      <c r="D5" s="8" t="s">
        <v>290</v>
      </c>
      <c r="E5" s="8" t="s">
        <v>291</v>
      </c>
      <c r="F5" s="8" t="s">
        <v>292</v>
      </c>
    </row>
    <row r="6" customFormat="false" ht="15" hidden="false" customHeight="true" outlineLevel="0" collapsed="false">
      <c r="A6" s="8" t="s">
        <v>293</v>
      </c>
      <c r="B6" s="8" t="s">
        <v>294</v>
      </c>
      <c r="C6" s="8" t="s">
        <v>295</v>
      </c>
      <c r="D6" s="8" t="s">
        <v>296</v>
      </c>
      <c r="E6" s="8" t="s">
        <v>297</v>
      </c>
      <c r="F6" s="8" t="s">
        <v>298</v>
      </c>
    </row>
    <row r="7" customFormat="false" ht="15" hidden="false" customHeight="true" outlineLevel="0" collapsed="false">
      <c r="A7" s="8" t="s">
        <v>299</v>
      </c>
      <c r="B7" s="8" t="s">
        <v>300</v>
      </c>
      <c r="C7" s="8" t="s">
        <v>301</v>
      </c>
      <c r="D7" s="8" t="s">
        <v>302</v>
      </c>
      <c r="E7" s="8" t="s">
        <v>303</v>
      </c>
      <c r="F7" s="8" t="s">
        <v>304</v>
      </c>
    </row>
    <row r="8" customFormat="false" ht="23.25" hidden="false" customHeight="true" outlineLevel="0" collapsed="false">
      <c r="A8" s="8" t="s">
        <v>305</v>
      </c>
      <c r="B8" s="8" t="s">
        <v>205</v>
      </c>
      <c r="C8" s="8" t="s">
        <v>306</v>
      </c>
      <c r="D8" s="8" t="s">
        <v>307</v>
      </c>
      <c r="E8" s="8" t="s">
        <v>308</v>
      </c>
      <c r="F8" s="8" t="s">
        <v>81</v>
      </c>
    </row>
    <row r="9" customFormat="false" ht="23.25" hidden="false" customHeight="true" outlineLevel="0" collapsed="false">
      <c r="A9" s="8" t="s">
        <v>309</v>
      </c>
      <c r="B9" s="8" t="s">
        <v>310</v>
      </c>
      <c r="C9" s="8" t="s">
        <v>311</v>
      </c>
      <c r="D9" s="8" t="s">
        <v>312</v>
      </c>
      <c r="E9" s="8" t="s">
        <v>313</v>
      </c>
      <c r="F9" s="8" t="s">
        <v>314</v>
      </c>
    </row>
    <row r="10" customFormat="false" ht="23.25" hidden="false" customHeight="true" outlineLevel="0" collapsed="false">
      <c r="A10" s="8" t="s">
        <v>315</v>
      </c>
      <c r="B10" s="8" t="s">
        <v>316</v>
      </c>
      <c r="C10" s="8" t="s">
        <v>317</v>
      </c>
      <c r="D10" s="8" t="s">
        <v>318</v>
      </c>
      <c r="E10" s="8" t="s">
        <v>319</v>
      </c>
      <c r="F10" s="8" t="s">
        <v>320</v>
      </c>
    </row>
    <row r="11" customFormat="false" ht="23.25" hidden="false" customHeight="true" outlineLevel="0" collapsed="false">
      <c r="A11" s="8" t="s">
        <v>321</v>
      </c>
      <c r="B11" s="8" t="s">
        <v>322</v>
      </c>
      <c r="C11" s="8" t="s">
        <v>323</v>
      </c>
      <c r="D11" s="8" t="s">
        <v>324</v>
      </c>
      <c r="E11" s="8" t="s">
        <v>325</v>
      </c>
      <c r="F11" s="8" t="s">
        <v>326</v>
      </c>
    </row>
    <row r="12" customFormat="false" ht="15" hidden="false" customHeight="true" outlineLevel="0" collapsed="false">
      <c r="A12" s="8" t="s">
        <v>327</v>
      </c>
      <c r="B12" s="8" t="s">
        <v>328</v>
      </c>
      <c r="C12" s="8" t="s">
        <v>329</v>
      </c>
      <c r="D12" s="8" t="s">
        <v>330</v>
      </c>
      <c r="E12" s="8" t="s">
        <v>331</v>
      </c>
      <c r="F12" s="8" t="s">
        <v>332</v>
      </c>
    </row>
    <row r="13" customFormat="false" ht="23.25" hidden="false" customHeight="true" outlineLevel="0" collapsed="false">
      <c r="A13" s="8" t="s">
        <v>333</v>
      </c>
      <c r="B13" s="8" t="s">
        <v>213</v>
      </c>
      <c r="C13" s="8" t="s">
        <v>334</v>
      </c>
      <c r="D13" s="8" t="s">
        <v>335</v>
      </c>
      <c r="E13" s="8" t="s">
        <v>336</v>
      </c>
      <c r="F13" s="8" t="s">
        <v>212</v>
      </c>
    </row>
    <row r="14" customFormat="false" ht="23.25" hidden="false" customHeight="true" outlineLevel="0" collapsed="false">
      <c r="A14" s="8" t="s">
        <v>337</v>
      </c>
      <c r="B14" s="8" t="s">
        <v>338</v>
      </c>
      <c r="C14" s="8" t="s">
        <v>339</v>
      </c>
      <c r="D14" s="8" t="s">
        <v>340</v>
      </c>
      <c r="E14" s="8" t="s">
        <v>341</v>
      </c>
      <c r="F14" s="8" t="s">
        <v>342</v>
      </c>
    </row>
    <row r="15" customFormat="false" ht="23.25" hidden="false" customHeight="true" outlineLevel="0" collapsed="false">
      <c r="A15" s="8" t="s">
        <v>343</v>
      </c>
      <c r="B15" s="8" t="s">
        <v>344</v>
      </c>
      <c r="C15" s="8" t="s">
        <v>345</v>
      </c>
      <c r="D15" s="8" t="s">
        <v>346</v>
      </c>
      <c r="E15" s="8" t="s">
        <v>347</v>
      </c>
      <c r="F15" s="8" t="s">
        <v>348</v>
      </c>
    </row>
    <row r="16" customFormat="false" ht="34.5" hidden="false" customHeight="true" outlineLevel="0" collapsed="false">
      <c r="A16" s="8" t="s">
        <v>349</v>
      </c>
      <c r="B16" s="8" t="s">
        <v>350</v>
      </c>
      <c r="C16" s="8" t="s">
        <v>351</v>
      </c>
      <c r="D16" s="8" t="s">
        <v>352</v>
      </c>
      <c r="E16" s="8" t="s">
        <v>353</v>
      </c>
      <c r="F16" s="8" t="s">
        <v>354</v>
      </c>
    </row>
    <row r="17" customFormat="false" ht="45.75" hidden="false" customHeight="true" outlineLevel="0" collapsed="false">
      <c r="A17" s="8" t="s">
        <v>355</v>
      </c>
      <c r="B17" s="8" t="s">
        <v>356</v>
      </c>
      <c r="C17" s="8" t="s">
        <v>357</v>
      </c>
      <c r="D17" s="8" t="s">
        <v>358</v>
      </c>
      <c r="E17" s="8" t="s">
        <v>359</v>
      </c>
      <c r="F17" s="8" t="s">
        <v>360</v>
      </c>
    </row>
    <row r="18" customFormat="false" ht="34.5" hidden="false" customHeight="true" outlineLevel="0" collapsed="false">
      <c r="A18" s="8" t="s">
        <v>361</v>
      </c>
      <c r="B18" s="8" t="s">
        <v>362</v>
      </c>
      <c r="C18" s="8" t="s">
        <v>363</v>
      </c>
      <c r="D18" s="8" t="s">
        <v>364</v>
      </c>
      <c r="E18" s="8" t="s">
        <v>365</v>
      </c>
      <c r="F18" s="8" t="s">
        <v>234</v>
      </c>
    </row>
    <row r="19" customFormat="false" ht="34.5" hidden="false" customHeight="true" outlineLevel="0" collapsed="false">
      <c r="A19" s="8" t="s">
        <v>366</v>
      </c>
      <c r="B19" s="8" t="s">
        <v>367</v>
      </c>
      <c r="C19" s="8" t="s">
        <v>368</v>
      </c>
      <c r="D19" s="8" t="s">
        <v>369</v>
      </c>
      <c r="E19" s="8" t="s">
        <v>370</v>
      </c>
      <c r="F19" s="8" t="s">
        <v>371</v>
      </c>
    </row>
    <row r="20" customFormat="false" ht="23.25" hidden="false" customHeight="true" outlineLevel="0" collapsed="false">
      <c r="A20" s="8" t="s">
        <v>372</v>
      </c>
      <c r="B20" s="8" t="s">
        <v>373</v>
      </c>
      <c r="C20" s="8" t="s">
        <v>374</v>
      </c>
      <c r="D20" s="8" t="s">
        <v>375</v>
      </c>
      <c r="E20" s="8" t="s">
        <v>376</v>
      </c>
      <c r="F20" s="8" t="s">
        <v>120</v>
      </c>
    </row>
    <row r="21" customFormat="false" ht="23.25" hidden="false" customHeight="true" outlineLevel="0" collapsed="false">
      <c r="A21" s="8" t="s">
        <v>377</v>
      </c>
      <c r="B21" s="8" t="s">
        <v>378</v>
      </c>
      <c r="C21" s="8" t="s">
        <v>379</v>
      </c>
      <c r="D21" s="8" t="s">
        <v>380</v>
      </c>
      <c r="E21" s="8" t="s">
        <v>381</v>
      </c>
      <c r="F21" s="8" t="s">
        <v>382</v>
      </c>
    </row>
    <row r="22" customFormat="false" ht="23.25" hidden="false" customHeight="true" outlineLevel="0" collapsed="false">
      <c r="A22" s="8" t="s">
        <v>383</v>
      </c>
      <c r="B22" s="8" t="s">
        <v>384</v>
      </c>
      <c r="C22" s="8" t="s">
        <v>385</v>
      </c>
      <c r="D22" s="8" t="s">
        <v>386</v>
      </c>
      <c r="E22" s="8" t="s">
        <v>387</v>
      </c>
      <c r="F22" s="8" t="s">
        <v>388</v>
      </c>
    </row>
  </sheetData>
  <autoFilter ref="A1:F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80"/>
    <col collapsed="false" customWidth="true" hidden="false" outlineLevel="0" max="4" min="4" style="1" width="45"/>
    <col collapsed="false" customWidth="true" hidden="false" outlineLevel="0" max="5" min="5" style="1" width="14"/>
  </cols>
  <sheetData>
    <row r="1" customFormat="false" ht="30" hidden="false" customHeight="true" outlineLevel="0" collapsed="false">
      <c r="A1" s="7" t="s">
        <v>26</v>
      </c>
      <c r="B1" s="7" t="s">
        <v>172</v>
      </c>
      <c r="C1" s="7" t="s">
        <v>389</v>
      </c>
      <c r="D1" s="7" t="s">
        <v>390</v>
      </c>
      <c r="E1" s="7" t="s">
        <v>35</v>
      </c>
    </row>
    <row r="2" customFormat="false" ht="15" hidden="false" customHeight="true" outlineLevel="0" collapsed="false">
      <c r="A2" s="8" t="s">
        <v>391</v>
      </c>
      <c r="B2" s="8" t="s">
        <v>392</v>
      </c>
      <c r="C2" s="8" t="s">
        <v>393</v>
      </c>
      <c r="D2" s="8" t="s">
        <v>394</v>
      </c>
      <c r="E2" s="8" t="s">
        <v>80</v>
      </c>
    </row>
    <row r="3" customFormat="false" ht="15" hidden="false" customHeight="true" outlineLevel="0" collapsed="false">
      <c r="A3" s="8" t="s">
        <v>395</v>
      </c>
      <c r="B3" s="8" t="s">
        <v>392</v>
      </c>
      <c r="C3" s="8" t="s">
        <v>396</v>
      </c>
      <c r="D3" s="8" t="s">
        <v>397</v>
      </c>
      <c r="E3" s="8" t="s">
        <v>80</v>
      </c>
    </row>
    <row r="4" customFormat="false" ht="15" hidden="false" customHeight="true" outlineLevel="0" collapsed="false">
      <c r="A4" s="8" t="s">
        <v>398</v>
      </c>
      <c r="B4" s="8" t="s">
        <v>392</v>
      </c>
      <c r="C4" s="8" t="s">
        <v>399</v>
      </c>
      <c r="D4" s="8" t="s">
        <v>400</v>
      </c>
      <c r="E4" s="8" t="s">
        <v>80</v>
      </c>
    </row>
    <row r="5" customFormat="false" ht="15" hidden="false" customHeight="true" outlineLevel="0" collapsed="false">
      <c r="A5" s="8" t="s">
        <v>401</v>
      </c>
      <c r="B5" s="8" t="s">
        <v>392</v>
      </c>
      <c r="C5" s="8" t="s">
        <v>402</v>
      </c>
      <c r="D5" s="8" t="s">
        <v>403</v>
      </c>
      <c r="E5" s="8" t="s">
        <v>80</v>
      </c>
    </row>
    <row r="6" customFormat="false" ht="15" hidden="false" customHeight="true" outlineLevel="0" collapsed="false">
      <c r="A6" s="8" t="s">
        <v>404</v>
      </c>
      <c r="B6" s="8" t="s">
        <v>392</v>
      </c>
      <c r="C6" s="8" t="s">
        <v>405</v>
      </c>
      <c r="D6" s="8" t="s">
        <v>406</v>
      </c>
      <c r="E6" s="8" t="s">
        <v>80</v>
      </c>
    </row>
    <row r="7" customFormat="false" ht="15" hidden="false" customHeight="true" outlineLevel="0" collapsed="false">
      <c r="A7" s="8" t="s">
        <v>407</v>
      </c>
      <c r="B7" s="8" t="s">
        <v>408</v>
      </c>
      <c r="C7" s="8" t="s">
        <v>409</v>
      </c>
      <c r="D7" s="8" t="s">
        <v>410</v>
      </c>
      <c r="E7" s="8" t="s">
        <v>80</v>
      </c>
    </row>
    <row r="8" customFormat="false" ht="15" hidden="false" customHeight="true" outlineLevel="0" collapsed="false">
      <c r="A8" s="8" t="s">
        <v>411</v>
      </c>
      <c r="B8" s="8" t="s">
        <v>408</v>
      </c>
      <c r="C8" s="8" t="s">
        <v>412</v>
      </c>
      <c r="D8" s="8" t="s">
        <v>413</v>
      </c>
      <c r="E8" s="8" t="s">
        <v>80</v>
      </c>
    </row>
    <row r="9" customFormat="false" ht="15" hidden="false" customHeight="true" outlineLevel="0" collapsed="false">
      <c r="A9" s="8" t="s">
        <v>414</v>
      </c>
      <c r="B9" s="8" t="s">
        <v>415</v>
      </c>
      <c r="C9" s="8" t="s">
        <v>416</v>
      </c>
      <c r="D9" s="8" t="s">
        <v>417</v>
      </c>
      <c r="E9" s="8" t="s">
        <v>418</v>
      </c>
    </row>
    <row r="10" customFormat="false" ht="23.25" hidden="false" customHeight="true" outlineLevel="0" collapsed="false">
      <c r="A10" s="8" t="s">
        <v>419</v>
      </c>
      <c r="B10" s="8" t="s">
        <v>415</v>
      </c>
      <c r="C10" s="8" t="s">
        <v>420</v>
      </c>
      <c r="D10" s="8" t="s">
        <v>417</v>
      </c>
      <c r="E10" s="8" t="s">
        <v>418</v>
      </c>
    </row>
    <row r="11" customFormat="false" ht="23.25" hidden="false" customHeight="true" outlineLevel="0" collapsed="false">
      <c r="A11" s="8" t="s">
        <v>421</v>
      </c>
      <c r="B11" s="8" t="s">
        <v>408</v>
      </c>
      <c r="C11" s="8" t="s">
        <v>422</v>
      </c>
      <c r="D11" s="8" t="s">
        <v>423</v>
      </c>
      <c r="E11" s="8" t="s">
        <v>80</v>
      </c>
    </row>
    <row r="12" customFormat="false" ht="15" hidden="false" customHeight="true" outlineLevel="0" collapsed="false">
      <c r="A12" s="8" t="s">
        <v>424</v>
      </c>
      <c r="B12" s="8" t="s">
        <v>392</v>
      </c>
      <c r="C12" s="8" t="s">
        <v>425</v>
      </c>
      <c r="D12" s="8" t="s">
        <v>426</v>
      </c>
      <c r="E12" s="8" t="s">
        <v>80</v>
      </c>
    </row>
    <row r="13" customFormat="false" ht="23.25" hidden="false" customHeight="true" outlineLevel="0" collapsed="false">
      <c r="A13" s="8" t="s">
        <v>427</v>
      </c>
      <c r="B13" s="8" t="s">
        <v>392</v>
      </c>
      <c r="C13" s="8" t="s">
        <v>428</v>
      </c>
      <c r="D13" s="8" t="s">
        <v>429</v>
      </c>
      <c r="E13" s="8" t="s">
        <v>80</v>
      </c>
    </row>
    <row r="14" customFormat="false" ht="34.5" hidden="false" customHeight="true" outlineLevel="0" collapsed="false">
      <c r="A14" s="8" t="s">
        <v>430</v>
      </c>
      <c r="B14" s="8" t="s">
        <v>431</v>
      </c>
      <c r="C14" s="8" t="s">
        <v>432</v>
      </c>
      <c r="D14" s="8" t="s">
        <v>433</v>
      </c>
      <c r="E14" s="8" t="s">
        <v>80</v>
      </c>
    </row>
    <row r="15" customFormat="false" ht="23.25" hidden="false" customHeight="true" outlineLevel="0" collapsed="false">
      <c r="A15" s="8" t="s">
        <v>434</v>
      </c>
      <c r="B15" s="8" t="s">
        <v>431</v>
      </c>
      <c r="C15" s="8" t="s">
        <v>435</v>
      </c>
      <c r="D15" s="8" t="s">
        <v>433</v>
      </c>
      <c r="E15" s="8" t="s">
        <v>418</v>
      </c>
    </row>
    <row r="16" customFormat="false" ht="23.25" hidden="false" customHeight="true" outlineLevel="0" collapsed="false">
      <c r="A16" s="8" t="s">
        <v>436</v>
      </c>
      <c r="B16" s="8" t="s">
        <v>415</v>
      </c>
      <c r="C16" s="8" t="s">
        <v>437</v>
      </c>
      <c r="D16" s="8" t="s">
        <v>438</v>
      </c>
      <c r="E16" s="8" t="s">
        <v>80</v>
      </c>
    </row>
    <row r="17" customFormat="false" ht="23.25" hidden="false" customHeight="true" outlineLevel="0" collapsed="false">
      <c r="A17" s="8" t="s">
        <v>439</v>
      </c>
      <c r="B17" s="8" t="s">
        <v>440</v>
      </c>
      <c r="C17" s="8" t="s">
        <v>441</v>
      </c>
      <c r="D17" s="8" t="s">
        <v>442</v>
      </c>
      <c r="E17" s="8" t="s">
        <v>80</v>
      </c>
    </row>
    <row r="18" customFormat="false" ht="15" hidden="false" customHeight="true" outlineLevel="0" collapsed="false">
      <c r="A18" s="8" t="s">
        <v>443</v>
      </c>
      <c r="B18" s="8" t="s">
        <v>444</v>
      </c>
      <c r="C18" s="8" t="s">
        <v>445</v>
      </c>
      <c r="D18" s="8" t="s">
        <v>442</v>
      </c>
      <c r="E18" s="8" t="s">
        <v>157</v>
      </c>
    </row>
    <row r="19" customFormat="false" ht="15" hidden="false" customHeight="true" outlineLevel="0" collapsed="false">
      <c r="A19" s="8" t="s">
        <v>446</v>
      </c>
      <c r="B19" s="8" t="s">
        <v>178</v>
      </c>
      <c r="C19" s="8" t="s">
        <v>447</v>
      </c>
      <c r="D19" s="8" t="s">
        <v>448</v>
      </c>
      <c r="E19" s="8" t="s">
        <v>157</v>
      </c>
    </row>
    <row r="20" customFormat="false" ht="15" hidden="false" customHeight="true" outlineLevel="0" collapsed="false">
      <c r="A20" s="8" t="s">
        <v>449</v>
      </c>
      <c r="B20" s="8" t="s">
        <v>178</v>
      </c>
      <c r="C20" s="8" t="s">
        <v>450</v>
      </c>
      <c r="D20" s="8" t="s">
        <v>451</v>
      </c>
      <c r="E20" s="8" t="s">
        <v>157</v>
      </c>
    </row>
    <row r="21" customFormat="false" ht="15" hidden="false" customHeight="true" outlineLevel="0" collapsed="false">
      <c r="A21" s="8" t="s">
        <v>452</v>
      </c>
      <c r="B21" s="8" t="s">
        <v>178</v>
      </c>
      <c r="C21" s="8" t="s">
        <v>453</v>
      </c>
      <c r="D21" s="8" t="s">
        <v>454</v>
      </c>
      <c r="E21" s="8" t="s">
        <v>157</v>
      </c>
    </row>
    <row r="22" customFormat="false" ht="23.25" hidden="false" customHeight="true" outlineLevel="0" collapsed="false">
      <c r="A22" s="8" t="s">
        <v>455</v>
      </c>
      <c r="B22" s="8" t="s">
        <v>456</v>
      </c>
      <c r="C22" s="8" t="s">
        <v>457</v>
      </c>
      <c r="D22" s="8" t="s">
        <v>458</v>
      </c>
      <c r="E22" s="8" t="s">
        <v>157</v>
      </c>
    </row>
    <row r="23" customFormat="false" ht="23.25" hidden="false" customHeight="true" outlineLevel="0" collapsed="false">
      <c r="A23" s="8" t="s">
        <v>459</v>
      </c>
      <c r="B23" s="8" t="s">
        <v>460</v>
      </c>
      <c r="C23" s="8" t="s">
        <v>461</v>
      </c>
      <c r="D23" s="8" t="s">
        <v>462</v>
      </c>
      <c r="E23" s="8" t="s">
        <v>157</v>
      </c>
    </row>
    <row r="24" customFormat="false" ht="34.5" hidden="false" customHeight="true" outlineLevel="0" collapsed="false">
      <c r="A24" s="8" t="s">
        <v>463</v>
      </c>
      <c r="B24" s="8" t="s">
        <v>431</v>
      </c>
      <c r="C24" s="8" t="s">
        <v>464</v>
      </c>
      <c r="D24" s="8" t="s">
        <v>465</v>
      </c>
      <c r="E24" s="8" t="s">
        <v>157</v>
      </c>
    </row>
    <row r="25" customFormat="false" ht="34.5" hidden="false" customHeight="true" outlineLevel="0" collapsed="false">
      <c r="A25" s="8" t="s">
        <v>466</v>
      </c>
      <c r="B25" s="8" t="s">
        <v>467</v>
      </c>
      <c r="C25" s="8" t="s">
        <v>468</v>
      </c>
      <c r="D25" s="8" t="s">
        <v>469</v>
      </c>
      <c r="E25" s="8" t="s">
        <v>157</v>
      </c>
    </row>
    <row r="26" customFormat="false" ht="34.5" hidden="false" customHeight="true" outlineLevel="0" collapsed="false">
      <c r="A26" s="8" t="s">
        <v>470</v>
      </c>
      <c r="B26" s="8" t="s">
        <v>178</v>
      </c>
      <c r="C26" s="8" t="s">
        <v>471</v>
      </c>
      <c r="D26" s="8" t="s">
        <v>472</v>
      </c>
      <c r="E26" s="8" t="s">
        <v>157</v>
      </c>
    </row>
  </sheetData>
  <autoFilter ref="A1:E18"/>
  <dataValidations count="1">
    <dataValidation allowBlank="true" errorStyle="stop" operator="between" showDropDown="false" showErrorMessage="false" showInputMessage="false" sqref="E2:E500" type="list">
      <formula1>"Nyitott,Megválaszolt,Elvetve"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60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6" min="6" style="1" width="55"/>
    <col collapsed="false" customWidth="true" hidden="false" outlineLevel="0" max="7" min="7" style="1" width="14"/>
  </cols>
  <sheetData>
    <row r="1" customFormat="false" ht="30" hidden="false" customHeight="true" outlineLevel="0" collapsed="false">
      <c r="A1" s="7" t="s">
        <v>26</v>
      </c>
      <c r="B1" s="7" t="s">
        <v>473</v>
      </c>
      <c r="C1" s="7" t="s">
        <v>474</v>
      </c>
      <c r="D1" s="7" t="s">
        <v>475</v>
      </c>
      <c r="E1" s="7" t="s">
        <v>476</v>
      </c>
      <c r="F1" s="7" t="s">
        <v>477</v>
      </c>
      <c r="G1" s="7" t="s">
        <v>478</v>
      </c>
    </row>
    <row r="2" customFormat="false" ht="15" hidden="false" customHeight="true" outlineLevel="0" collapsed="false">
      <c r="A2" s="8" t="s">
        <v>479</v>
      </c>
      <c r="B2" s="8" t="s">
        <v>480</v>
      </c>
      <c r="C2" s="8" t="s">
        <v>481</v>
      </c>
      <c r="D2" s="8" t="s">
        <v>482</v>
      </c>
      <c r="E2" s="8" t="s">
        <v>483</v>
      </c>
      <c r="F2" s="8" t="s">
        <v>484</v>
      </c>
      <c r="G2" s="8" t="s">
        <v>150</v>
      </c>
    </row>
    <row r="3" customFormat="false" ht="23.25" hidden="false" customHeight="true" outlineLevel="0" collapsed="false">
      <c r="A3" s="8" t="s">
        <v>485</v>
      </c>
      <c r="B3" s="8" t="s">
        <v>408</v>
      </c>
      <c r="C3" s="8" t="s">
        <v>486</v>
      </c>
      <c r="D3" s="8" t="s">
        <v>482</v>
      </c>
      <c r="E3" s="8" t="s">
        <v>51</v>
      </c>
      <c r="F3" s="8" t="s">
        <v>487</v>
      </c>
      <c r="G3" s="8" t="s">
        <v>488</v>
      </c>
    </row>
    <row r="4" customFormat="false" ht="15" hidden="false" customHeight="true" outlineLevel="0" collapsed="false">
      <c r="A4" s="8" t="s">
        <v>489</v>
      </c>
      <c r="B4" s="8" t="s">
        <v>408</v>
      </c>
      <c r="C4" s="8" t="s">
        <v>490</v>
      </c>
      <c r="D4" s="8" t="s">
        <v>482</v>
      </c>
      <c r="E4" s="8" t="s">
        <v>51</v>
      </c>
      <c r="F4" s="8" t="s">
        <v>491</v>
      </c>
      <c r="G4" s="8" t="s">
        <v>492</v>
      </c>
    </row>
    <row r="5" customFormat="false" ht="15" hidden="false" customHeight="true" outlineLevel="0" collapsed="false">
      <c r="A5" s="8" t="s">
        <v>493</v>
      </c>
      <c r="B5" s="8" t="s">
        <v>408</v>
      </c>
      <c r="C5" s="8" t="s">
        <v>494</v>
      </c>
      <c r="D5" s="8" t="s">
        <v>482</v>
      </c>
      <c r="E5" s="8" t="s">
        <v>483</v>
      </c>
      <c r="F5" s="8" t="s">
        <v>495</v>
      </c>
      <c r="G5" s="8" t="s">
        <v>496</v>
      </c>
    </row>
    <row r="6" customFormat="false" ht="15" hidden="false" customHeight="true" outlineLevel="0" collapsed="false">
      <c r="A6" s="8" t="s">
        <v>497</v>
      </c>
      <c r="B6" s="8" t="s">
        <v>392</v>
      </c>
      <c r="C6" s="8" t="s">
        <v>498</v>
      </c>
      <c r="D6" s="8" t="s">
        <v>482</v>
      </c>
      <c r="E6" s="8" t="s">
        <v>51</v>
      </c>
      <c r="F6" s="8" t="s">
        <v>499</v>
      </c>
      <c r="G6" s="8" t="s">
        <v>500</v>
      </c>
    </row>
    <row r="7" customFormat="false" ht="15" hidden="false" customHeight="true" outlineLevel="0" collapsed="false">
      <c r="A7" s="8" t="s">
        <v>501</v>
      </c>
      <c r="B7" s="8" t="s">
        <v>392</v>
      </c>
      <c r="C7" s="8" t="s">
        <v>502</v>
      </c>
      <c r="D7" s="8" t="s">
        <v>482</v>
      </c>
      <c r="E7" s="8" t="s">
        <v>51</v>
      </c>
      <c r="F7" s="8" t="s">
        <v>503</v>
      </c>
      <c r="G7" s="8" t="s">
        <v>504</v>
      </c>
    </row>
    <row r="8" customFormat="false" ht="15" hidden="false" customHeight="true" outlineLevel="0" collapsed="false">
      <c r="A8" s="8" t="s">
        <v>505</v>
      </c>
      <c r="B8" s="8" t="s">
        <v>392</v>
      </c>
      <c r="C8" s="8" t="s">
        <v>506</v>
      </c>
      <c r="D8" s="8" t="s">
        <v>482</v>
      </c>
      <c r="E8" s="8" t="s">
        <v>507</v>
      </c>
      <c r="F8" s="8" t="s">
        <v>508</v>
      </c>
      <c r="G8" s="8" t="s">
        <v>509</v>
      </c>
    </row>
    <row r="9" customFormat="false" ht="15" hidden="false" customHeight="true" outlineLevel="0" collapsed="false">
      <c r="A9" s="8" t="s">
        <v>510</v>
      </c>
      <c r="B9" s="8" t="s">
        <v>392</v>
      </c>
      <c r="C9" s="8" t="s">
        <v>511</v>
      </c>
      <c r="D9" s="8" t="s">
        <v>482</v>
      </c>
      <c r="E9" s="8" t="s">
        <v>51</v>
      </c>
      <c r="F9" s="8" t="s">
        <v>512</v>
      </c>
      <c r="G9" s="8" t="s">
        <v>513</v>
      </c>
    </row>
    <row r="10" customFormat="false" ht="15" hidden="false" customHeight="true" outlineLevel="0" collapsed="false">
      <c r="A10" s="8" t="s">
        <v>514</v>
      </c>
      <c r="B10" s="8" t="s">
        <v>392</v>
      </c>
      <c r="C10" s="8" t="s">
        <v>515</v>
      </c>
      <c r="D10" s="8" t="s">
        <v>516</v>
      </c>
      <c r="E10" s="8" t="s">
        <v>507</v>
      </c>
      <c r="F10" s="8" t="s">
        <v>517</v>
      </c>
      <c r="G10" s="8" t="s">
        <v>518</v>
      </c>
    </row>
    <row r="11" customFormat="false" ht="15" hidden="false" customHeight="true" outlineLevel="0" collapsed="false">
      <c r="A11" s="8" t="s">
        <v>519</v>
      </c>
      <c r="B11" s="8" t="s">
        <v>392</v>
      </c>
      <c r="C11" s="8" t="s">
        <v>520</v>
      </c>
      <c r="D11" s="8" t="s">
        <v>516</v>
      </c>
      <c r="E11" s="8" t="s">
        <v>483</v>
      </c>
      <c r="F11" s="8"/>
      <c r="G11" s="8" t="s">
        <v>513</v>
      </c>
    </row>
    <row r="12" customFormat="false" ht="15" hidden="false" customHeight="true" outlineLevel="0" collapsed="false">
      <c r="A12" s="8" t="s">
        <v>521</v>
      </c>
      <c r="B12" s="8" t="s">
        <v>392</v>
      </c>
      <c r="C12" s="8" t="s">
        <v>522</v>
      </c>
      <c r="D12" s="8" t="s">
        <v>516</v>
      </c>
      <c r="E12" s="8" t="s">
        <v>483</v>
      </c>
      <c r="F12" s="8" t="s">
        <v>523</v>
      </c>
      <c r="G12" s="8" t="s">
        <v>524</v>
      </c>
    </row>
    <row r="13" customFormat="false" ht="15" hidden="false" customHeight="true" outlineLevel="0" collapsed="false">
      <c r="A13" s="8" t="s">
        <v>525</v>
      </c>
      <c r="B13" s="8" t="s">
        <v>408</v>
      </c>
      <c r="C13" s="8" t="s">
        <v>526</v>
      </c>
      <c r="D13" s="8" t="s">
        <v>516</v>
      </c>
      <c r="E13" s="8" t="s">
        <v>527</v>
      </c>
      <c r="F13" s="8" t="s">
        <v>528</v>
      </c>
      <c r="G13" s="8" t="s">
        <v>529</v>
      </c>
    </row>
    <row r="14" customFormat="false" ht="15" hidden="false" customHeight="true" outlineLevel="0" collapsed="false">
      <c r="A14" s="8" t="s">
        <v>530</v>
      </c>
      <c r="B14" s="8" t="s">
        <v>480</v>
      </c>
      <c r="C14" s="8" t="s">
        <v>531</v>
      </c>
      <c r="D14" s="8" t="s">
        <v>516</v>
      </c>
      <c r="E14" s="8" t="s">
        <v>532</v>
      </c>
      <c r="F14" s="8" t="s">
        <v>533</v>
      </c>
      <c r="G14" s="8" t="s">
        <v>524</v>
      </c>
    </row>
    <row r="15" customFormat="false" ht="15" hidden="false" customHeight="true" outlineLevel="0" collapsed="false">
      <c r="A15" s="8" t="s">
        <v>534</v>
      </c>
      <c r="B15" s="8" t="s">
        <v>392</v>
      </c>
      <c r="C15" s="8" t="s">
        <v>535</v>
      </c>
      <c r="D15" s="8" t="s">
        <v>536</v>
      </c>
      <c r="E15" s="8" t="s">
        <v>532</v>
      </c>
      <c r="F15" s="8" t="s">
        <v>537</v>
      </c>
      <c r="G15" s="8" t="s">
        <v>538</v>
      </c>
    </row>
    <row r="16" customFormat="false" ht="15" hidden="false" customHeight="true" outlineLevel="0" collapsed="false">
      <c r="A16" s="8" t="s">
        <v>539</v>
      </c>
      <c r="B16" s="8" t="s">
        <v>392</v>
      </c>
      <c r="C16" s="8" t="s">
        <v>540</v>
      </c>
      <c r="D16" s="8" t="s">
        <v>536</v>
      </c>
      <c r="E16" s="8" t="s">
        <v>51</v>
      </c>
      <c r="F16" s="8" t="s">
        <v>541</v>
      </c>
      <c r="G16" s="8" t="s">
        <v>538</v>
      </c>
    </row>
    <row r="17" customFormat="false" ht="15" hidden="false" customHeight="true" outlineLevel="0" collapsed="false">
      <c r="A17" s="8" t="s">
        <v>542</v>
      </c>
      <c r="B17" s="8" t="s">
        <v>408</v>
      </c>
      <c r="C17" s="8" t="s">
        <v>543</v>
      </c>
      <c r="D17" s="8" t="s">
        <v>536</v>
      </c>
      <c r="E17" s="8" t="s">
        <v>51</v>
      </c>
      <c r="F17" s="8" t="s">
        <v>544</v>
      </c>
      <c r="G17" s="8" t="s">
        <v>150</v>
      </c>
    </row>
    <row r="18" customFormat="false" ht="23.25" hidden="false" customHeight="true" outlineLevel="0" collapsed="false">
      <c r="A18" s="8" t="s">
        <v>545</v>
      </c>
      <c r="B18" s="8" t="s">
        <v>408</v>
      </c>
      <c r="C18" s="8" t="s">
        <v>546</v>
      </c>
      <c r="D18" s="8" t="s">
        <v>516</v>
      </c>
      <c r="E18" s="8" t="s">
        <v>51</v>
      </c>
      <c r="F18" s="8" t="s">
        <v>547</v>
      </c>
      <c r="G18" s="8" t="s">
        <v>150</v>
      </c>
    </row>
    <row r="19" customFormat="false" ht="15" hidden="false" customHeight="true" outlineLevel="0" collapsed="false">
      <c r="A19" s="8" t="s">
        <v>548</v>
      </c>
      <c r="B19" s="8" t="s">
        <v>392</v>
      </c>
      <c r="C19" s="8" t="s">
        <v>549</v>
      </c>
      <c r="D19" s="8" t="s">
        <v>536</v>
      </c>
      <c r="E19" s="8" t="s">
        <v>507</v>
      </c>
      <c r="F19" s="8" t="s">
        <v>550</v>
      </c>
      <c r="G19" s="8" t="s">
        <v>150</v>
      </c>
    </row>
    <row r="20" customFormat="false" ht="15" hidden="false" customHeight="true" outlineLevel="0" collapsed="false">
      <c r="A20" s="8" t="s">
        <v>551</v>
      </c>
      <c r="B20" s="8" t="s">
        <v>480</v>
      </c>
      <c r="C20" s="8" t="s">
        <v>552</v>
      </c>
      <c r="D20" s="8" t="s">
        <v>482</v>
      </c>
      <c r="E20" s="8" t="s">
        <v>483</v>
      </c>
      <c r="F20" s="8" t="s">
        <v>553</v>
      </c>
      <c r="G20" s="8" t="s">
        <v>150</v>
      </c>
    </row>
    <row r="21" customFormat="false" ht="34.5" hidden="false" customHeight="true" outlineLevel="0" collapsed="false">
      <c r="A21" s="8" t="s">
        <v>554</v>
      </c>
      <c r="B21" s="8" t="s">
        <v>431</v>
      </c>
      <c r="C21" s="8" t="s">
        <v>555</v>
      </c>
      <c r="D21" s="8" t="s">
        <v>516</v>
      </c>
      <c r="E21" s="8" t="s">
        <v>51</v>
      </c>
      <c r="F21" s="8" t="s">
        <v>556</v>
      </c>
      <c r="G21" s="8" t="s">
        <v>150</v>
      </c>
    </row>
    <row r="22" customFormat="false" ht="15" hidden="false" customHeight="true" outlineLevel="0" collapsed="false">
      <c r="A22" s="8" t="s">
        <v>557</v>
      </c>
      <c r="B22" s="8" t="s">
        <v>392</v>
      </c>
      <c r="C22" s="8" t="s">
        <v>558</v>
      </c>
      <c r="D22" s="8" t="s">
        <v>536</v>
      </c>
      <c r="E22" s="8" t="s">
        <v>507</v>
      </c>
      <c r="F22" s="8" t="s">
        <v>559</v>
      </c>
      <c r="G22" s="8" t="s">
        <v>513</v>
      </c>
    </row>
    <row r="24" customFormat="false" ht="15" hidden="false" customHeight="true" outlineLevel="0" collapsed="false">
      <c r="A24" s="10" t="s">
        <v>560</v>
      </c>
    </row>
    <row r="25" customFormat="false" ht="15" hidden="false" customHeight="true" outlineLevel="0" collapsed="false">
      <c r="A25" s="11" t="s">
        <v>561</v>
      </c>
      <c r="B25" s="11" t="s">
        <v>562</v>
      </c>
      <c r="C25" s="11" t="s">
        <v>563</v>
      </c>
      <c r="D25" s="11" t="s">
        <v>477</v>
      </c>
    </row>
    <row r="26" customFormat="false" ht="15" hidden="false" customHeight="true" outlineLevel="0" collapsed="false">
      <c r="A26" s="6" t="s">
        <v>564</v>
      </c>
      <c r="B26" s="6" t="s">
        <v>565</v>
      </c>
      <c r="C26" s="12" t="n">
        <v>10</v>
      </c>
      <c r="D26" s="6" t="s">
        <v>566</v>
      </c>
    </row>
    <row r="27" customFormat="false" ht="15" hidden="false" customHeight="true" outlineLevel="0" collapsed="false">
      <c r="A27" s="6" t="s">
        <v>567</v>
      </c>
      <c r="B27" s="6" t="s">
        <v>568</v>
      </c>
      <c r="C27" s="12" t="n">
        <v>5</v>
      </c>
      <c r="D27" s="6" t="s">
        <v>569</v>
      </c>
    </row>
    <row r="28" customFormat="false" ht="15" hidden="false" customHeight="true" outlineLevel="0" collapsed="false">
      <c r="A28" s="6" t="s">
        <v>570</v>
      </c>
      <c r="B28" s="6" t="s">
        <v>571</v>
      </c>
      <c r="C28" s="12" t="n">
        <v>3</v>
      </c>
      <c r="D28" s="6" t="s">
        <v>572</v>
      </c>
    </row>
    <row r="29" customFormat="false" ht="15" hidden="false" customHeight="true" outlineLevel="0" collapsed="false">
      <c r="A29" s="6" t="s">
        <v>573</v>
      </c>
      <c r="B29" s="6" t="s">
        <v>574</v>
      </c>
      <c r="C29" s="12" t="n">
        <v>1</v>
      </c>
      <c r="D29" s="6" t="s">
        <v>575</v>
      </c>
    </row>
    <row r="30" customFormat="false" ht="15" hidden="false" customHeight="true" outlineLevel="0" collapsed="false">
      <c r="A30" s="6" t="s">
        <v>576</v>
      </c>
      <c r="B30" s="6" t="s">
        <v>577</v>
      </c>
      <c r="C30" s="12" t="n">
        <v>0.5</v>
      </c>
      <c r="D30" s="6" t="s">
        <v>578</v>
      </c>
    </row>
    <row r="31" customFormat="false" ht="15" hidden="false" customHeight="true" outlineLevel="0" collapsed="false">
      <c r="A31" s="6" t="s">
        <v>579</v>
      </c>
      <c r="B31" s="6" t="s">
        <v>580</v>
      </c>
      <c r="C31" s="12" t="n">
        <v>0.2</v>
      </c>
      <c r="D31" s="6" t="s">
        <v>581</v>
      </c>
    </row>
    <row r="32" customFormat="false" ht="15" hidden="false" customHeight="true" outlineLevel="0" collapsed="false">
      <c r="A32" s="6" t="s">
        <v>582</v>
      </c>
      <c r="B32" s="6" t="s">
        <v>583</v>
      </c>
      <c r="C32" s="12" t="n">
        <v>0</v>
      </c>
      <c r="D32" s="6" t="s">
        <v>584</v>
      </c>
    </row>
    <row r="34" customFormat="false" ht="15" hidden="false" customHeight="true" outlineLevel="0" collapsed="false">
      <c r="A34" s="6" t="s">
        <v>585</v>
      </c>
      <c r="C34" s="6" t="n">
        <f aca="false">SUM(C26:C32)</f>
        <v>19.7</v>
      </c>
    </row>
    <row r="35" customFormat="false" ht="15" hidden="false" customHeight="true" outlineLevel="0" collapsed="false">
      <c r="A35" s="6" t="s">
        <v>586</v>
      </c>
      <c r="C35" s="12" t="n">
        <v>40</v>
      </c>
      <c r="D35" s="6" t="s">
        <v>587</v>
      </c>
    </row>
    <row r="36" customFormat="false" ht="15" hidden="false" customHeight="true" outlineLevel="0" collapsed="false">
      <c r="A36" s="6" t="s">
        <v>588</v>
      </c>
      <c r="C36" s="13" t="n">
        <f aca="false">C34*C35/1000</f>
        <v>0.788</v>
      </c>
      <c r="D36" s="6" t="s">
        <v>589</v>
      </c>
    </row>
  </sheetData>
  <autoFilter ref="A1:G22"/>
  <dataValidations count="1">
    <dataValidation allowBlank="true" errorStyle="stop" operator="between" showDropDown="false" showErrorMessage="false" showInputMessage="false" sqref="D2:D500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50"/>
    <col collapsed="false" customWidth="true" hidden="false" outlineLevel="0" max="6" min="6" style="0" width="70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7" t="s">
        <v>26</v>
      </c>
      <c r="B1" s="7" t="s">
        <v>590</v>
      </c>
      <c r="C1" s="7" t="s">
        <v>591</v>
      </c>
      <c r="D1" s="7" t="s">
        <v>592</v>
      </c>
      <c r="E1" s="7" t="s">
        <v>593</v>
      </c>
      <c r="F1" s="7" t="s">
        <v>594</v>
      </c>
      <c r="G1" s="7" t="s">
        <v>595</v>
      </c>
    </row>
    <row r="2" customFormat="false" ht="46.25" hidden="false" customHeight="false" outlineLevel="0" collapsed="false">
      <c r="A2" s="8" t="s">
        <v>596</v>
      </c>
      <c r="B2" s="8" t="s">
        <v>597</v>
      </c>
      <c r="C2" s="8" t="s">
        <v>115</v>
      </c>
      <c r="D2" s="8" t="s">
        <v>598</v>
      </c>
      <c r="E2" s="8" t="s">
        <v>599</v>
      </c>
      <c r="F2" s="8" t="s">
        <v>600</v>
      </c>
      <c r="G2" s="8" t="s">
        <v>601</v>
      </c>
    </row>
    <row r="3" customFormat="false" ht="23.85" hidden="false" customHeight="false" outlineLevel="0" collapsed="false">
      <c r="A3" s="8" t="s">
        <v>602</v>
      </c>
      <c r="B3" s="8" t="s">
        <v>603</v>
      </c>
      <c r="C3" s="8" t="s">
        <v>604</v>
      </c>
      <c r="D3" s="8" t="s">
        <v>605</v>
      </c>
      <c r="E3" s="8" t="s">
        <v>606</v>
      </c>
      <c r="F3" s="8" t="s">
        <v>607</v>
      </c>
      <c r="G3" s="8" t="s">
        <v>601</v>
      </c>
    </row>
    <row r="4" customFormat="false" ht="46.25" hidden="false" customHeight="false" outlineLevel="0" collapsed="false">
      <c r="A4" s="8" t="s">
        <v>608</v>
      </c>
      <c r="B4" s="8" t="s">
        <v>609</v>
      </c>
      <c r="C4" s="8" t="s">
        <v>610</v>
      </c>
      <c r="D4" s="8" t="s">
        <v>605</v>
      </c>
      <c r="E4" s="8" t="s">
        <v>611</v>
      </c>
      <c r="F4" s="8" t="s">
        <v>612</v>
      </c>
      <c r="G4" s="8" t="s">
        <v>601</v>
      </c>
    </row>
    <row r="5" customFormat="false" ht="35.05" hidden="false" customHeight="false" outlineLevel="0" collapsed="false">
      <c r="A5" s="8" t="s">
        <v>613</v>
      </c>
      <c r="B5" s="8" t="s">
        <v>614</v>
      </c>
      <c r="C5" s="8" t="s">
        <v>115</v>
      </c>
      <c r="D5" s="8" t="s">
        <v>615</v>
      </c>
      <c r="E5" s="8" t="s">
        <v>616</v>
      </c>
      <c r="F5" s="8" t="s">
        <v>617</v>
      </c>
      <c r="G5" s="8" t="s">
        <v>601</v>
      </c>
    </row>
    <row r="6" customFormat="false" ht="35.05" hidden="false" customHeight="false" outlineLevel="0" collapsed="false">
      <c r="A6" s="8" t="s">
        <v>618</v>
      </c>
      <c r="B6" s="8" t="s">
        <v>619</v>
      </c>
      <c r="C6" s="8" t="s">
        <v>620</v>
      </c>
      <c r="D6" s="8" t="s">
        <v>621</v>
      </c>
      <c r="E6" s="8" t="s">
        <v>622</v>
      </c>
      <c r="F6" s="8" t="s">
        <v>623</v>
      </c>
      <c r="G6" s="8" t="s">
        <v>601</v>
      </c>
    </row>
    <row r="7" customFormat="false" ht="35.05" hidden="false" customHeight="false" outlineLevel="0" collapsed="false">
      <c r="A7" s="8" t="s">
        <v>624</v>
      </c>
      <c r="B7" s="8" t="s">
        <v>625</v>
      </c>
      <c r="C7" s="8" t="s">
        <v>115</v>
      </c>
      <c r="D7" s="8" t="s">
        <v>626</v>
      </c>
      <c r="E7" s="8" t="s">
        <v>627</v>
      </c>
      <c r="F7" s="8" t="s">
        <v>628</v>
      </c>
      <c r="G7" s="8" t="s">
        <v>601</v>
      </c>
    </row>
    <row r="8" customFormat="false" ht="46.25" hidden="false" customHeight="false" outlineLevel="0" collapsed="false">
      <c r="A8" s="8" t="s">
        <v>629</v>
      </c>
      <c r="B8" s="8" t="s">
        <v>630</v>
      </c>
      <c r="C8" s="8" t="s">
        <v>115</v>
      </c>
      <c r="D8" s="8" t="s">
        <v>631</v>
      </c>
      <c r="E8" s="8" t="s">
        <v>632</v>
      </c>
      <c r="F8" s="8" t="s">
        <v>633</v>
      </c>
      <c r="G8" s="8" t="s">
        <v>601</v>
      </c>
    </row>
    <row r="9" customFormat="false" ht="46.25" hidden="false" customHeight="false" outlineLevel="0" collapsed="false">
      <c r="A9" s="8" t="s">
        <v>634</v>
      </c>
      <c r="B9" s="8" t="s">
        <v>635</v>
      </c>
      <c r="C9" s="8" t="s">
        <v>636</v>
      </c>
      <c r="D9" s="8" t="s">
        <v>637</v>
      </c>
      <c r="E9" s="8" t="s">
        <v>638</v>
      </c>
      <c r="F9" s="8" t="s">
        <v>639</v>
      </c>
      <c r="G9" s="8" t="s">
        <v>601</v>
      </c>
    </row>
    <row r="10" customFormat="false" ht="79.85" hidden="false" customHeight="false" outlineLevel="0" collapsed="false">
      <c r="A10" s="8" t="s">
        <v>640</v>
      </c>
      <c r="B10" s="8" t="s">
        <v>641</v>
      </c>
      <c r="C10" s="8" t="s">
        <v>642</v>
      </c>
      <c r="D10" s="8" t="s">
        <v>643</v>
      </c>
      <c r="E10" s="8" t="s">
        <v>644</v>
      </c>
      <c r="F10" s="8" t="s">
        <v>645</v>
      </c>
      <c r="G10" s="8" t="s">
        <v>601</v>
      </c>
    </row>
    <row r="11" customFormat="false" ht="23.85" hidden="false" customHeight="false" outlineLevel="0" collapsed="false">
      <c r="A11" s="8" t="s">
        <v>646</v>
      </c>
      <c r="B11" s="8" t="s">
        <v>647</v>
      </c>
      <c r="C11" s="8" t="s">
        <v>648</v>
      </c>
      <c r="D11" s="8" t="s">
        <v>605</v>
      </c>
      <c r="E11" s="8" t="s">
        <v>649</v>
      </c>
      <c r="F11" s="8" t="s">
        <v>650</v>
      </c>
      <c r="G11" s="8" t="s">
        <v>601</v>
      </c>
    </row>
    <row r="12" customFormat="false" ht="35.05" hidden="false" customHeight="false" outlineLevel="0" collapsed="false">
      <c r="A12" s="8" t="s">
        <v>651</v>
      </c>
      <c r="B12" s="8" t="s">
        <v>652</v>
      </c>
      <c r="C12" s="8" t="s">
        <v>648</v>
      </c>
      <c r="D12" s="8" t="s">
        <v>653</v>
      </c>
      <c r="E12" s="8" t="s">
        <v>654</v>
      </c>
      <c r="F12" s="8" t="s">
        <v>655</v>
      </c>
      <c r="G12" s="8" t="s">
        <v>601</v>
      </c>
    </row>
    <row r="13" customFormat="false" ht="35.05" hidden="false" customHeight="false" outlineLevel="0" collapsed="false">
      <c r="A13" s="8" t="s">
        <v>656</v>
      </c>
      <c r="B13" s="8" t="s">
        <v>657</v>
      </c>
      <c r="C13" s="8" t="s">
        <v>648</v>
      </c>
      <c r="D13" s="8" t="s">
        <v>658</v>
      </c>
      <c r="E13" s="8" t="s">
        <v>659</v>
      </c>
      <c r="F13" s="8" t="s">
        <v>660</v>
      </c>
      <c r="G13" s="8" t="s">
        <v>601</v>
      </c>
    </row>
    <row r="14" customFormat="false" ht="23.85" hidden="false" customHeight="false" outlineLevel="0" collapsed="false">
      <c r="A14" s="8" t="s">
        <v>661</v>
      </c>
      <c r="B14" s="8" t="s">
        <v>662</v>
      </c>
      <c r="C14" s="8" t="s">
        <v>648</v>
      </c>
      <c r="D14" s="8" t="s">
        <v>658</v>
      </c>
      <c r="E14" s="8" t="s">
        <v>663</v>
      </c>
      <c r="F14" s="8" t="s">
        <v>664</v>
      </c>
      <c r="G14" s="8" t="s">
        <v>601</v>
      </c>
    </row>
    <row r="15" customFormat="false" ht="35.05" hidden="false" customHeight="false" outlineLevel="0" collapsed="false">
      <c r="A15" s="8" t="s">
        <v>665</v>
      </c>
      <c r="B15" s="8" t="s">
        <v>666</v>
      </c>
      <c r="C15" s="8" t="s">
        <v>667</v>
      </c>
      <c r="D15" s="8" t="s">
        <v>668</v>
      </c>
      <c r="E15" s="8" t="s">
        <v>669</v>
      </c>
      <c r="F15" s="8" t="s">
        <v>670</v>
      </c>
      <c r="G15" s="8" t="s">
        <v>601</v>
      </c>
    </row>
    <row r="16" customFormat="false" ht="35.05" hidden="false" customHeight="false" outlineLevel="0" collapsed="false">
      <c r="A16" s="8" t="s">
        <v>671</v>
      </c>
      <c r="B16" s="8" t="s">
        <v>672</v>
      </c>
      <c r="C16" s="8" t="s">
        <v>673</v>
      </c>
      <c r="D16" s="8" t="s">
        <v>674</v>
      </c>
      <c r="E16" s="8" t="s">
        <v>675</v>
      </c>
      <c r="F16" s="8" t="s">
        <v>676</v>
      </c>
      <c r="G16" s="8" t="s">
        <v>601</v>
      </c>
    </row>
    <row r="17" customFormat="false" ht="57.45" hidden="false" customHeight="false" outlineLevel="0" collapsed="false">
      <c r="A17" s="8" t="s">
        <v>677</v>
      </c>
      <c r="B17" s="8" t="s">
        <v>678</v>
      </c>
      <c r="C17" s="8" t="s">
        <v>115</v>
      </c>
      <c r="D17" s="8" t="s">
        <v>679</v>
      </c>
      <c r="E17" s="8" t="s">
        <v>680</v>
      </c>
      <c r="F17" s="8" t="s">
        <v>681</v>
      </c>
      <c r="G17" s="8" t="s">
        <v>601</v>
      </c>
    </row>
    <row r="18" customFormat="false" ht="23.85" hidden="false" customHeight="false" outlineLevel="0" collapsed="false">
      <c r="A18" s="8" t="s">
        <v>682</v>
      </c>
      <c r="B18" s="8" t="s">
        <v>683</v>
      </c>
      <c r="C18" s="8" t="s">
        <v>673</v>
      </c>
      <c r="D18" s="8" t="s">
        <v>674</v>
      </c>
      <c r="E18" s="8" t="s">
        <v>684</v>
      </c>
      <c r="F18" s="8" t="s">
        <v>685</v>
      </c>
      <c r="G18" s="8" t="s">
        <v>601</v>
      </c>
    </row>
    <row r="19" customFormat="false" ht="23.85" hidden="false" customHeight="false" outlineLevel="0" collapsed="false">
      <c r="A19" s="8" t="s">
        <v>686</v>
      </c>
      <c r="B19" s="8" t="s">
        <v>687</v>
      </c>
      <c r="C19" s="8" t="s">
        <v>648</v>
      </c>
      <c r="D19" s="8" t="s">
        <v>643</v>
      </c>
      <c r="E19" s="8" t="s">
        <v>688</v>
      </c>
      <c r="F19" s="8" t="s">
        <v>689</v>
      </c>
      <c r="G19" s="8" t="s">
        <v>601</v>
      </c>
    </row>
    <row r="20" customFormat="false" ht="23.85" hidden="false" customHeight="false" outlineLevel="0" collapsed="false">
      <c r="A20" s="8" t="s">
        <v>690</v>
      </c>
      <c r="B20" s="8" t="s">
        <v>691</v>
      </c>
      <c r="C20" s="8" t="s">
        <v>648</v>
      </c>
      <c r="D20" s="8" t="s">
        <v>658</v>
      </c>
      <c r="E20" s="8" t="s">
        <v>692</v>
      </c>
      <c r="F20" s="8" t="s">
        <v>693</v>
      </c>
      <c r="G20" s="8" t="s">
        <v>601</v>
      </c>
    </row>
    <row r="21" customFormat="false" ht="35.05" hidden="false" customHeight="false" outlineLevel="0" collapsed="false">
      <c r="A21" s="8" t="s">
        <v>694</v>
      </c>
      <c r="B21" s="8" t="s">
        <v>695</v>
      </c>
      <c r="C21" s="8" t="s">
        <v>696</v>
      </c>
      <c r="D21" s="8" t="s">
        <v>605</v>
      </c>
      <c r="E21" s="8" t="s">
        <v>697</v>
      </c>
      <c r="F21" s="8" t="s">
        <v>698</v>
      </c>
      <c r="G21" s="8" t="s">
        <v>601</v>
      </c>
    </row>
    <row r="22" customFormat="false" ht="46.25" hidden="false" customHeight="false" outlineLevel="0" collapsed="false">
      <c r="A22" s="8" t="s">
        <v>699</v>
      </c>
      <c r="B22" s="8" t="s">
        <v>700</v>
      </c>
      <c r="C22" s="8" t="s">
        <v>701</v>
      </c>
      <c r="D22" s="8" t="s">
        <v>674</v>
      </c>
      <c r="E22" s="8" t="s">
        <v>702</v>
      </c>
      <c r="F22" s="8" t="s">
        <v>703</v>
      </c>
      <c r="G22" s="8" t="s">
        <v>601</v>
      </c>
    </row>
    <row r="23" customFormat="false" ht="46.25" hidden="false" customHeight="false" outlineLevel="0" collapsed="false">
      <c r="A23" s="8" t="s">
        <v>704</v>
      </c>
      <c r="B23" s="8" t="s">
        <v>705</v>
      </c>
      <c r="C23" s="8" t="s">
        <v>115</v>
      </c>
      <c r="D23" s="8" t="s">
        <v>706</v>
      </c>
      <c r="E23" s="8" t="s">
        <v>707</v>
      </c>
      <c r="F23" s="8" t="s">
        <v>708</v>
      </c>
      <c r="G23" s="8" t="s">
        <v>601</v>
      </c>
    </row>
    <row r="24" customFormat="false" ht="35.05" hidden="false" customHeight="false" outlineLevel="0" collapsed="false">
      <c r="A24" s="8" t="s">
        <v>709</v>
      </c>
      <c r="B24" s="8" t="s">
        <v>710</v>
      </c>
      <c r="C24" s="8" t="s">
        <v>115</v>
      </c>
      <c r="D24" s="8" t="s">
        <v>711</v>
      </c>
      <c r="E24" s="8" t="s">
        <v>712</v>
      </c>
      <c r="F24" s="8" t="s">
        <v>713</v>
      </c>
      <c r="G24" s="8" t="s">
        <v>601</v>
      </c>
    </row>
    <row r="25" customFormat="false" ht="35.05" hidden="false" customHeight="false" outlineLevel="0" collapsed="false">
      <c r="A25" s="8" t="s">
        <v>714</v>
      </c>
      <c r="B25" s="8" t="s">
        <v>715</v>
      </c>
      <c r="C25" s="8" t="s">
        <v>115</v>
      </c>
      <c r="D25" s="8" t="s">
        <v>716</v>
      </c>
      <c r="E25" s="8" t="s">
        <v>717</v>
      </c>
      <c r="F25" s="8" t="s">
        <v>718</v>
      </c>
      <c r="G25" s="8" t="s">
        <v>601</v>
      </c>
    </row>
    <row r="26" customFormat="false" ht="35.05" hidden="false" customHeight="false" outlineLevel="0" collapsed="false">
      <c r="A26" s="8" t="s">
        <v>719</v>
      </c>
      <c r="B26" s="8" t="s">
        <v>720</v>
      </c>
      <c r="C26" s="8" t="s">
        <v>620</v>
      </c>
      <c r="D26" s="8" t="s">
        <v>721</v>
      </c>
      <c r="E26" s="8" t="s">
        <v>722</v>
      </c>
      <c r="F26" s="8" t="s">
        <v>723</v>
      </c>
      <c r="G26" s="8" t="s">
        <v>601</v>
      </c>
    </row>
    <row r="27" customFormat="false" ht="23.85" hidden="false" customHeight="false" outlineLevel="0" collapsed="false">
      <c r="A27" s="8" t="s">
        <v>724</v>
      </c>
      <c r="B27" s="8" t="s">
        <v>725</v>
      </c>
      <c r="C27" s="8" t="s">
        <v>726</v>
      </c>
      <c r="D27" s="8" t="s">
        <v>643</v>
      </c>
      <c r="E27" s="8" t="s">
        <v>727</v>
      </c>
      <c r="F27" s="8" t="s">
        <v>728</v>
      </c>
      <c r="G27" s="8" t="s">
        <v>157</v>
      </c>
    </row>
    <row r="28" customFormat="false" ht="35.05" hidden="false" customHeight="false" outlineLevel="0" collapsed="false">
      <c r="A28" s="8" t="s">
        <v>729</v>
      </c>
      <c r="B28" s="8" t="s">
        <v>730</v>
      </c>
      <c r="C28" s="8" t="s">
        <v>726</v>
      </c>
      <c r="D28" s="8" t="s">
        <v>643</v>
      </c>
      <c r="E28" s="8" t="s">
        <v>727</v>
      </c>
      <c r="F28" s="8" t="s">
        <v>731</v>
      </c>
      <c r="G28" s="8" t="s">
        <v>157</v>
      </c>
    </row>
    <row r="29" customFormat="false" ht="23.85" hidden="false" customHeight="false" outlineLevel="0" collapsed="false">
      <c r="A29" s="8" t="s">
        <v>732</v>
      </c>
      <c r="B29" s="8" t="s">
        <v>733</v>
      </c>
      <c r="C29" s="8" t="s">
        <v>734</v>
      </c>
      <c r="D29" s="8" t="s">
        <v>735</v>
      </c>
      <c r="E29" s="8" t="s">
        <v>727</v>
      </c>
      <c r="F29" s="8" t="s">
        <v>736</v>
      </c>
      <c r="G29" s="8" t="s">
        <v>157</v>
      </c>
    </row>
    <row r="30" customFormat="false" ht="35.05" hidden="false" customHeight="false" outlineLevel="0" collapsed="false">
      <c r="A30" s="8" t="s">
        <v>737</v>
      </c>
      <c r="B30" s="8" t="s">
        <v>738</v>
      </c>
      <c r="C30" s="8" t="s">
        <v>739</v>
      </c>
      <c r="D30" s="8" t="s">
        <v>740</v>
      </c>
      <c r="E30" s="8" t="s">
        <v>727</v>
      </c>
      <c r="F30" s="8" t="s">
        <v>741</v>
      </c>
      <c r="G30" s="8" t="s">
        <v>157</v>
      </c>
    </row>
    <row r="31" customFormat="false" ht="35.05" hidden="false" customHeight="false" outlineLevel="0" collapsed="false">
      <c r="A31" s="8" t="s">
        <v>742</v>
      </c>
      <c r="B31" s="8" t="s">
        <v>743</v>
      </c>
      <c r="C31" s="8" t="s">
        <v>744</v>
      </c>
      <c r="D31" s="8" t="s">
        <v>745</v>
      </c>
      <c r="E31" s="8" t="s">
        <v>727</v>
      </c>
      <c r="F31" s="8" t="s">
        <v>746</v>
      </c>
      <c r="G31" s="8" t="s">
        <v>157</v>
      </c>
    </row>
    <row r="32" customFormat="false" ht="23.85" hidden="false" customHeight="false" outlineLevel="0" collapsed="false">
      <c r="A32" s="8" t="s">
        <v>747</v>
      </c>
      <c r="B32" s="8" t="s">
        <v>748</v>
      </c>
      <c r="C32" s="8" t="s">
        <v>749</v>
      </c>
      <c r="D32" s="8" t="s">
        <v>750</v>
      </c>
      <c r="E32" s="8" t="s">
        <v>727</v>
      </c>
      <c r="F32" s="8" t="s">
        <v>751</v>
      </c>
      <c r="G32" s="8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8"/>
    <col collapsed="false" customWidth="true" hidden="false" outlineLevel="0" max="3" min="3" style="1" width="70"/>
  </cols>
  <sheetData>
    <row r="1" customFormat="false" ht="30" hidden="false" customHeight="true" outlineLevel="0" collapsed="false">
      <c r="A1" s="7" t="s">
        <v>752</v>
      </c>
      <c r="B1" s="7" t="s">
        <v>753</v>
      </c>
      <c r="C1" s="7" t="s">
        <v>477</v>
      </c>
    </row>
    <row r="2" customFormat="false" ht="23.25" hidden="false" customHeight="true" outlineLevel="0" collapsed="false">
      <c r="A2" s="8" t="s">
        <v>754</v>
      </c>
      <c r="B2" s="8" t="s">
        <v>755</v>
      </c>
      <c r="C2" s="8" t="s">
        <v>756</v>
      </c>
    </row>
    <row r="3" customFormat="false" ht="15" hidden="false" customHeight="true" outlineLevel="0" collapsed="false">
      <c r="A3" s="8" t="s">
        <v>757</v>
      </c>
      <c r="B3" s="8" t="s">
        <v>758</v>
      </c>
      <c r="C3" s="8" t="s">
        <v>759</v>
      </c>
    </row>
    <row r="4" customFormat="false" ht="15" hidden="false" customHeight="true" outlineLevel="0" collapsed="false">
      <c r="A4" s="8" t="s">
        <v>760</v>
      </c>
      <c r="B4" s="8" t="s">
        <v>761</v>
      </c>
      <c r="C4" s="8" t="s">
        <v>762</v>
      </c>
    </row>
    <row r="5" customFormat="false" ht="15" hidden="false" customHeight="true" outlineLevel="0" collapsed="false">
      <c r="A5" s="8" t="s">
        <v>763</v>
      </c>
      <c r="B5" s="8" t="s">
        <v>764</v>
      </c>
      <c r="C5" s="8" t="s">
        <v>150</v>
      </c>
    </row>
    <row r="6" customFormat="false" ht="15" hidden="false" customHeight="true" outlineLevel="0" collapsed="false">
      <c r="A6" s="8" t="s">
        <v>765</v>
      </c>
      <c r="B6" s="8" t="s">
        <v>766</v>
      </c>
      <c r="C6" s="8" t="s">
        <v>767</v>
      </c>
    </row>
    <row r="7" customFormat="false" ht="15" hidden="false" customHeight="true" outlineLevel="0" collapsed="false">
      <c r="A7" s="8" t="s">
        <v>768</v>
      </c>
      <c r="B7" s="8" t="s">
        <v>769</v>
      </c>
      <c r="C7" s="8" t="s">
        <v>770</v>
      </c>
    </row>
    <row r="8" customFormat="false" ht="15" hidden="false" customHeight="true" outlineLevel="0" collapsed="false">
      <c r="A8" s="8" t="s">
        <v>771</v>
      </c>
      <c r="B8" s="8" t="s">
        <v>772</v>
      </c>
      <c r="C8" s="8" t="s">
        <v>773</v>
      </c>
    </row>
    <row r="9" customFormat="false" ht="15" hidden="false" customHeight="true" outlineLevel="0" collapsed="false">
      <c r="A9" s="8" t="s">
        <v>774</v>
      </c>
      <c r="B9" s="8" t="s">
        <v>775</v>
      </c>
      <c r="C9" s="8" t="s">
        <v>776</v>
      </c>
    </row>
    <row r="10" customFormat="false" ht="15" hidden="false" customHeight="true" outlineLevel="0" collapsed="false">
      <c r="A10" s="8" t="s">
        <v>777</v>
      </c>
      <c r="B10" s="8" t="s">
        <v>778</v>
      </c>
      <c r="C10" s="8" t="s">
        <v>779</v>
      </c>
    </row>
    <row r="11" customFormat="false" ht="15" hidden="false" customHeight="true" outlineLevel="0" collapsed="false">
      <c r="A11" s="8" t="s">
        <v>780</v>
      </c>
      <c r="B11" s="8" t="s">
        <v>781</v>
      </c>
      <c r="C11" s="8" t="s">
        <v>782</v>
      </c>
    </row>
    <row r="12" customFormat="false" ht="15" hidden="false" customHeight="true" outlineLevel="0" collapsed="false">
      <c r="A12" s="8" t="s">
        <v>783</v>
      </c>
      <c r="B12" s="8" t="s">
        <v>784</v>
      </c>
      <c r="C12" s="8" t="s">
        <v>150</v>
      </c>
    </row>
    <row r="13" customFormat="false" ht="15" hidden="false" customHeight="true" outlineLevel="0" collapsed="false">
      <c r="A13" s="8" t="s">
        <v>785</v>
      </c>
      <c r="B13" s="8" t="s">
        <v>786</v>
      </c>
      <c r="C13" s="8" t="s">
        <v>787</v>
      </c>
    </row>
    <row r="14" customFormat="false" ht="15" hidden="false" customHeight="true" outlineLevel="0" collapsed="false">
      <c r="A14" s="8" t="s">
        <v>788</v>
      </c>
      <c r="B14" s="8" t="s">
        <v>789</v>
      </c>
      <c r="C14" s="8" t="s">
        <v>790</v>
      </c>
    </row>
    <row r="15" customFormat="false" ht="15" hidden="false" customHeight="true" outlineLevel="0" collapsed="false">
      <c r="A15" s="8" t="s">
        <v>791</v>
      </c>
      <c r="B15" s="8" t="s">
        <v>792</v>
      </c>
      <c r="C15" s="8" t="s">
        <v>793</v>
      </c>
    </row>
    <row r="16" customFormat="false" ht="15" hidden="false" customHeight="true" outlineLevel="0" collapsed="false">
      <c r="A16" s="8" t="s">
        <v>794</v>
      </c>
      <c r="B16" s="8" t="s">
        <v>795</v>
      </c>
      <c r="C16" s="8" t="s">
        <v>796</v>
      </c>
    </row>
    <row r="17" customFormat="false" ht="15" hidden="false" customHeight="true" outlineLevel="0" collapsed="false">
      <c r="A17" s="8" t="s">
        <v>797</v>
      </c>
      <c r="B17" s="8" t="s">
        <v>798</v>
      </c>
      <c r="C17" s="8" t="s">
        <v>799</v>
      </c>
    </row>
    <row r="18" customFormat="false" ht="15" hidden="false" customHeight="true" outlineLevel="0" collapsed="false">
      <c r="A18" s="8" t="s">
        <v>800</v>
      </c>
      <c r="B18" s="8" t="s">
        <v>801</v>
      </c>
      <c r="C18" s="8" t="s">
        <v>802</v>
      </c>
    </row>
    <row r="19" customFormat="false" ht="15" hidden="false" customHeight="true" outlineLevel="0" collapsed="false">
      <c r="A19" s="8" t="s">
        <v>803</v>
      </c>
      <c r="B19" s="8" t="s">
        <v>804</v>
      </c>
      <c r="C19" s="8" t="s">
        <v>805</v>
      </c>
    </row>
    <row r="20" customFormat="false" ht="15" hidden="false" customHeight="true" outlineLevel="0" collapsed="false">
      <c r="A20" s="8" t="s">
        <v>806</v>
      </c>
      <c r="B20" s="8" t="s">
        <v>807</v>
      </c>
      <c r="C20" s="8" t="s">
        <v>808</v>
      </c>
    </row>
    <row r="21" customFormat="false" ht="15" hidden="false" customHeight="true" outlineLevel="0" collapsed="false">
      <c r="A21" s="8" t="s">
        <v>809</v>
      </c>
      <c r="B21" s="8" t="s">
        <v>810</v>
      </c>
      <c r="C21" s="8" t="s">
        <v>150</v>
      </c>
    </row>
    <row r="22" customFormat="false" ht="15" hidden="false" customHeight="true" outlineLevel="0" collapsed="false">
      <c r="A22" s="8" t="s">
        <v>811</v>
      </c>
      <c r="B22" s="8" t="s">
        <v>812</v>
      </c>
      <c r="C22" s="8" t="s">
        <v>150</v>
      </c>
    </row>
    <row r="23" customFormat="false" ht="15" hidden="false" customHeight="true" outlineLevel="0" collapsed="false">
      <c r="A23" s="8" t="s">
        <v>813</v>
      </c>
      <c r="B23" s="8" t="s">
        <v>814</v>
      </c>
      <c r="C23" s="8" t="s">
        <v>815</v>
      </c>
    </row>
    <row r="24" customFormat="false" ht="15" hidden="false" customHeight="true" outlineLevel="0" collapsed="false">
      <c r="A24" s="8" t="s">
        <v>816</v>
      </c>
      <c r="B24" s="8" t="s">
        <v>817</v>
      </c>
      <c r="C24" s="8" t="s">
        <v>818</v>
      </c>
    </row>
    <row r="26" customFormat="false" ht="15" hidden="false" customHeight="true" outlineLevel="0" collapsed="false">
      <c r="A26" s="12" t="s">
        <v>819</v>
      </c>
    </row>
  </sheetData>
  <autoFilter ref="A1:C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2026-10-18T12:03:07Z</dcterms:created>
  <dc:creator>openpyxl</dc:creator>
  <dc:description/>
  <dc:language>en-US</dc:language>
  <cp:lastModifiedBy/>
  <dcterms:modified xsi:type="dcterms:W3CDTF">2026-10-19T14:05:11Z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